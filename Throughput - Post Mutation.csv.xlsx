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ha amrita\Realigned\CWD\Half-Yearly\"/>
    </mc:Choice>
  </mc:AlternateContent>
  <bookViews>
    <workbookView xWindow="0" yWindow="0" windowWidth="23040" windowHeight="9192" firstSheet="1" activeTab="4"/>
  </bookViews>
  <sheets>
    <sheet name="NSGA Run Data" sheetId="1" r:id="rId1"/>
    <sheet name="NSGA (Sampling) Data " sheetId="5" r:id="rId2"/>
    <sheet name="NSGA (Crossover) Data" sheetId="3" r:id="rId3"/>
    <sheet name="NSGA (Mutation) Data" sheetId="6" r:id="rId4"/>
    <sheet name="Plot" sheetId="2" r:id="rId5"/>
    <sheet name="Sheet2" sheetId="4" r:id="rId6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2" l="1"/>
  <c r="K4" i="2"/>
  <c r="K3" i="2"/>
  <c r="K2" i="2"/>
  <c r="J5" i="2"/>
  <c r="J4" i="2"/>
  <c r="J3" i="2"/>
  <c r="J2" i="2"/>
  <c r="I5" i="2"/>
  <c r="I4" i="2"/>
  <c r="I3" i="2"/>
  <c r="I2" i="2"/>
  <c r="H5" i="2"/>
  <c r="H4" i="2"/>
  <c r="H3" i="2"/>
  <c r="H2" i="2"/>
  <c r="G5" i="2"/>
  <c r="G4" i="2"/>
  <c r="G3" i="2"/>
  <c r="G2" i="2"/>
  <c r="F5" i="2"/>
  <c r="F4" i="2"/>
  <c r="F3" i="2"/>
  <c r="F2" i="2"/>
  <c r="E5" i="2"/>
  <c r="E4" i="2"/>
  <c r="E3" i="2"/>
  <c r="E2" i="2"/>
  <c r="D5" i="2"/>
  <c r="D4" i="2"/>
  <c r="D3" i="2"/>
  <c r="D2" i="2"/>
  <c r="C5" i="2"/>
  <c r="C4" i="2"/>
  <c r="C3" i="2"/>
  <c r="C2" i="2"/>
  <c r="B5" i="2"/>
  <c r="B4" i="2"/>
  <c r="B3" i="2"/>
  <c r="B2" i="2"/>
  <c r="AJ103" i="6" l="1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9" i="6"/>
  <c r="AJ10" i="6"/>
  <c r="AJ11" i="6"/>
  <c r="AJ12" i="6"/>
  <c r="AJ13" i="6"/>
  <c r="AW102" i="6"/>
  <c r="AX102" i="6" s="1"/>
  <c r="AY102" i="6" s="1"/>
  <c r="AR102" i="6"/>
  <c r="AS102" i="6" s="1"/>
  <c r="AT102" i="6" s="1"/>
  <c r="AM102" i="6"/>
  <c r="AN102" i="6" s="1"/>
  <c r="AO102" i="6" s="1"/>
  <c r="AH102" i="6"/>
  <c r="AI102" i="6" s="1"/>
  <c r="AC102" i="6"/>
  <c r="AD102" i="6" s="1"/>
  <c r="AE102" i="6" s="1"/>
  <c r="X102" i="6"/>
  <c r="Y102" i="6" s="1"/>
  <c r="Z102" i="6" s="1"/>
  <c r="S102" i="6"/>
  <c r="T102" i="6" s="1"/>
  <c r="U102" i="6" s="1"/>
  <c r="N102" i="6"/>
  <c r="O102" i="6" s="1"/>
  <c r="P102" i="6" s="1"/>
  <c r="I102" i="6"/>
  <c r="J102" i="6" s="1"/>
  <c r="K102" i="6" s="1"/>
  <c r="D102" i="6"/>
  <c r="E102" i="6" s="1"/>
  <c r="F102" i="6" s="1"/>
  <c r="AW101" i="6"/>
  <c r="AX101" i="6" s="1"/>
  <c r="AY101" i="6" s="1"/>
  <c r="AR101" i="6"/>
  <c r="AS101" i="6" s="1"/>
  <c r="AT101" i="6" s="1"/>
  <c r="AM101" i="6"/>
  <c r="AN101" i="6" s="1"/>
  <c r="AO101" i="6" s="1"/>
  <c r="AH101" i="6"/>
  <c r="AI101" i="6" s="1"/>
  <c r="AC101" i="6"/>
  <c r="AD101" i="6" s="1"/>
  <c r="AE101" i="6" s="1"/>
  <c r="X101" i="6"/>
  <c r="Y101" i="6" s="1"/>
  <c r="Z101" i="6" s="1"/>
  <c r="S101" i="6"/>
  <c r="T101" i="6" s="1"/>
  <c r="U101" i="6" s="1"/>
  <c r="N101" i="6"/>
  <c r="O101" i="6" s="1"/>
  <c r="P101" i="6" s="1"/>
  <c r="I101" i="6"/>
  <c r="J101" i="6" s="1"/>
  <c r="K101" i="6" s="1"/>
  <c r="D101" i="6"/>
  <c r="E101" i="6" s="1"/>
  <c r="F101" i="6" s="1"/>
  <c r="AW100" i="6"/>
  <c r="AX100" i="6" s="1"/>
  <c r="AY100" i="6" s="1"/>
  <c r="AS100" i="6"/>
  <c r="AT100" i="6" s="1"/>
  <c r="AR100" i="6"/>
  <c r="AM100" i="6"/>
  <c r="AN100" i="6" s="1"/>
  <c r="AO100" i="6" s="1"/>
  <c r="AH100" i="6"/>
  <c r="AI100" i="6" s="1"/>
  <c r="AC100" i="6"/>
  <c r="AD100" i="6" s="1"/>
  <c r="AE100" i="6" s="1"/>
  <c r="X100" i="6"/>
  <c r="Y100" i="6" s="1"/>
  <c r="Z100" i="6" s="1"/>
  <c r="S100" i="6"/>
  <c r="T100" i="6" s="1"/>
  <c r="U100" i="6" s="1"/>
  <c r="N100" i="6"/>
  <c r="O100" i="6" s="1"/>
  <c r="P100" i="6" s="1"/>
  <c r="I100" i="6"/>
  <c r="J100" i="6" s="1"/>
  <c r="K100" i="6" s="1"/>
  <c r="D100" i="6"/>
  <c r="E100" i="6" s="1"/>
  <c r="F100" i="6" s="1"/>
  <c r="AW99" i="6"/>
  <c r="AX99" i="6" s="1"/>
  <c r="AY99" i="6" s="1"/>
  <c r="AR99" i="6"/>
  <c r="AS99" i="6" s="1"/>
  <c r="AT99" i="6" s="1"/>
  <c r="AM99" i="6"/>
  <c r="AN99" i="6" s="1"/>
  <c r="AO99" i="6" s="1"/>
  <c r="AH99" i="6"/>
  <c r="AI99" i="6" s="1"/>
  <c r="AC99" i="6"/>
  <c r="AD99" i="6" s="1"/>
  <c r="AE99" i="6" s="1"/>
  <c r="X99" i="6"/>
  <c r="Y99" i="6" s="1"/>
  <c r="Z99" i="6" s="1"/>
  <c r="S99" i="6"/>
  <c r="T99" i="6" s="1"/>
  <c r="U99" i="6" s="1"/>
  <c r="O99" i="6"/>
  <c r="P99" i="6" s="1"/>
  <c r="N99" i="6"/>
  <c r="I99" i="6"/>
  <c r="J99" i="6" s="1"/>
  <c r="K99" i="6" s="1"/>
  <c r="D99" i="6"/>
  <c r="E99" i="6" s="1"/>
  <c r="F99" i="6" s="1"/>
  <c r="AW98" i="6"/>
  <c r="AX98" i="6" s="1"/>
  <c r="AY98" i="6" s="1"/>
  <c r="AR98" i="6"/>
  <c r="AS98" i="6" s="1"/>
  <c r="AT98" i="6" s="1"/>
  <c r="AM98" i="6"/>
  <c r="AN98" i="6" s="1"/>
  <c r="AO98" i="6" s="1"/>
  <c r="AH98" i="6"/>
  <c r="AI98" i="6" s="1"/>
  <c r="AC98" i="6"/>
  <c r="AD98" i="6" s="1"/>
  <c r="AE98" i="6" s="1"/>
  <c r="X98" i="6"/>
  <c r="Y98" i="6" s="1"/>
  <c r="Z98" i="6" s="1"/>
  <c r="S98" i="6"/>
  <c r="T98" i="6" s="1"/>
  <c r="U98" i="6" s="1"/>
  <c r="N98" i="6"/>
  <c r="O98" i="6" s="1"/>
  <c r="P98" i="6" s="1"/>
  <c r="I98" i="6"/>
  <c r="J98" i="6" s="1"/>
  <c r="K98" i="6" s="1"/>
  <c r="D98" i="6"/>
  <c r="E98" i="6" s="1"/>
  <c r="F98" i="6" s="1"/>
  <c r="AW97" i="6"/>
  <c r="AX97" i="6" s="1"/>
  <c r="AY97" i="6" s="1"/>
  <c r="AR97" i="6"/>
  <c r="AS97" i="6" s="1"/>
  <c r="AT97" i="6" s="1"/>
  <c r="AM97" i="6"/>
  <c r="AN97" i="6" s="1"/>
  <c r="AO97" i="6" s="1"/>
  <c r="AI97" i="6"/>
  <c r="AH97" i="6"/>
  <c r="AC97" i="6"/>
  <c r="AD97" i="6" s="1"/>
  <c r="AE97" i="6" s="1"/>
  <c r="X97" i="6"/>
  <c r="Y97" i="6" s="1"/>
  <c r="Z97" i="6" s="1"/>
  <c r="S97" i="6"/>
  <c r="T97" i="6" s="1"/>
  <c r="U97" i="6" s="1"/>
  <c r="N97" i="6"/>
  <c r="O97" i="6" s="1"/>
  <c r="P97" i="6" s="1"/>
  <c r="I97" i="6"/>
  <c r="J97" i="6" s="1"/>
  <c r="K97" i="6" s="1"/>
  <c r="D97" i="6"/>
  <c r="E97" i="6" s="1"/>
  <c r="F97" i="6" s="1"/>
  <c r="AW96" i="6"/>
  <c r="AX96" i="6" s="1"/>
  <c r="AY96" i="6" s="1"/>
  <c r="AR96" i="6"/>
  <c r="AS96" i="6" s="1"/>
  <c r="AT96" i="6" s="1"/>
  <c r="AM96" i="6"/>
  <c r="AN96" i="6" s="1"/>
  <c r="AO96" i="6" s="1"/>
  <c r="AH96" i="6"/>
  <c r="AI96" i="6" s="1"/>
  <c r="AC96" i="6"/>
  <c r="AD96" i="6" s="1"/>
  <c r="AE96" i="6" s="1"/>
  <c r="X96" i="6"/>
  <c r="Y96" i="6" s="1"/>
  <c r="Z96" i="6" s="1"/>
  <c r="S96" i="6"/>
  <c r="T96" i="6" s="1"/>
  <c r="U96" i="6" s="1"/>
  <c r="N96" i="6"/>
  <c r="O96" i="6" s="1"/>
  <c r="P96" i="6" s="1"/>
  <c r="I96" i="6"/>
  <c r="J96" i="6" s="1"/>
  <c r="K96" i="6" s="1"/>
  <c r="D96" i="6"/>
  <c r="E96" i="6" s="1"/>
  <c r="F96" i="6" s="1"/>
  <c r="AW95" i="6"/>
  <c r="AX95" i="6" s="1"/>
  <c r="AY95" i="6" s="1"/>
  <c r="AR95" i="6"/>
  <c r="AS95" i="6" s="1"/>
  <c r="AT95" i="6" s="1"/>
  <c r="AM95" i="6"/>
  <c r="AN95" i="6" s="1"/>
  <c r="AO95" i="6" s="1"/>
  <c r="AH95" i="6"/>
  <c r="AI95" i="6" s="1"/>
  <c r="AC95" i="6"/>
  <c r="AD95" i="6" s="1"/>
  <c r="AE95" i="6" s="1"/>
  <c r="X95" i="6"/>
  <c r="Y95" i="6" s="1"/>
  <c r="Z95" i="6" s="1"/>
  <c r="S95" i="6"/>
  <c r="T95" i="6" s="1"/>
  <c r="U95" i="6" s="1"/>
  <c r="N95" i="6"/>
  <c r="O95" i="6" s="1"/>
  <c r="P95" i="6" s="1"/>
  <c r="I95" i="6"/>
  <c r="J95" i="6" s="1"/>
  <c r="K95" i="6" s="1"/>
  <c r="D95" i="6"/>
  <c r="E95" i="6" s="1"/>
  <c r="F95" i="6" s="1"/>
  <c r="AW94" i="6"/>
  <c r="AX94" i="6" s="1"/>
  <c r="AY94" i="6" s="1"/>
  <c r="AR94" i="6"/>
  <c r="AS94" i="6" s="1"/>
  <c r="AT94" i="6" s="1"/>
  <c r="AM94" i="6"/>
  <c r="AN94" i="6" s="1"/>
  <c r="AO94" i="6" s="1"/>
  <c r="AH94" i="6"/>
  <c r="AI94" i="6" s="1"/>
  <c r="AC94" i="6"/>
  <c r="AD94" i="6" s="1"/>
  <c r="AE94" i="6" s="1"/>
  <c r="X94" i="6"/>
  <c r="Y94" i="6" s="1"/>
  <c r="Z94" i="6" s="1"/>
  <c r="S94" i="6"/>
  <c r="T94" i="6" s="1"/>
  <c r="U94" i="6" s="1"/>
  <c r="N94" i="6"/>
  <c r="O94" i="6" s="1"/>
  <c r="P94" i="6" s="1"/>
  <c r="I94" i="6"/>
  <c r="J94" i="6" s="1"/>
  <c r="K94" i="6" s="1"/>
  <c r="D94" i="6"/>
  <c r="E94" i="6" s="1"/>
  <c r="F94" i="6" s="1"/>
  <c r="AW93" i="6"/>
  <c r="AX93" i="6" s="1"/>
  <c r="AY93" i="6" s="1"/>
  <c r="AR93" i="6"/>
  <c r="AS93" i="6" s="1"/>
  <c r="AT93" i="6" s="1"/>
  <c r="AM93" i="6"/>
  <c r="AN93" i="6" s="1"/>
  <c r="AO93" i="6" s="1"/>
  <c r="AH93" i="6"/>
  <c r="AI93" i="6" s="1"/>
  <c r="AC93" i="6"/>
  <c r="AD93" i="6" s="1"/>
  <c r="AE93" i="6" s="1"/>
  <c r="X93" i="6"/>
  <c r="Y93" i="6" s="1"/>
  <c r="Z93" i="6" s="1"/>
  <c r="S93" i="6"/>
  <c r="T93" i="6" s="1"/>
  <c r="U93" i="6" s="1"/>
  <c r="N93" i="6"/>
  <c r="O93" i="6" s="1"/>
  <c r="P93" i="6" s="1"/>
  <c r="I93" i="6"/>
  <c r="J93" i="6" s="1"/>
  <c r="K93" i="6" s="1"/>
  <c r="D93" i="6"/>
  <c r="E93" i="6" s="1"/>
  <c r="F93" i="6" s="1"/>
  <c r="AW92" i="6"/>
  <c r="AX92" i="6" s="1"/>
  <c r="AY92" i="6" s="1"/>
  <c r="AR92" i="6"/>
  <c r="AS92" i="6" s="1"/>
  <c r="AT92" i="6" s="1"/>
  <c r="AM92" i="6"/>
  <c r="AN92" i="6" s="1"/>
  <c r="AO92" i="6" s="1"/>
  <c r="AH92" i="6"/>
  <c r="AI92" i="6" s="1"/>
  <c r="AC92" i="6"/>
  <c r="AD92" i="6" s="1"/>
  <c r="AE92" i="6" s="1"/>
  <c r="X92" i="6"/>
  <c r="Y92" i="6" s="1"/>
  <c r="Z92" i="6" s="1"/>
  <c r="S92" i="6"/>
  <c r="T92" i="6" s="1"/>
  <c r="U92" i="6" s="1"/>
  <c r="N92" i="6"/>
  <c r="O92" i="6" s="1"/>
  <c r="P92" i="6" s="1"/>
  <c r="I92" i="6"/>
  <c r="J92" i="6" s="1"/>
  <c r="K92" i="6" s="1"/>
  <c r="D92" i="6"/>
  <c r="E92" i="6" s="1"/>
  <c r="F92" i="6" s="1"/>
  <c r="AW91" i="6"/>
  <c r="AX91" i="6" s="1"/>
  <c r="AY91" i="6" s="1"/>
  <c r="AR91" i="6"/>
  <c r="AS91" i="6" s="1"/>
  <c r="AT91" i="6" s="1"/>
  <c r="AM91" i="6"/>
  <c r="AN91" i="6" s="1"/>
  <c r="AO91" i="6" s="1"/>
  <c r="AH91" i="6"/>
  <c r="AI91" i="6" s="1"/>
  <c r="AC91" i="6"/>
  <c r="AD91" i="6" s="1"/>
  <c r="AE91" i="6" s="1"/>
  <c r="X91" i="6"/>
  <c r="Y91" i="6" s="1"/>
  <c r="Z91" i="6" s="1"/>
  <c r="S91" i="6"/>
  <c r="T91" i="6" s="1"/>
  <c r="U91" i="6" s="1"/>
  <c r="N91" i="6"/>
  <c r="O91" i="6" s="1"/>
  <c r="P91" i="6" s="1"/>
  <c r="I91" i="6"/>
  <c r="J91" i="6" s="1"/>
  <c r="K91" i="6" s="1"/>
  <c r="D91" i="6"/>
  <c r="E91" i="6" s="1"/>
  <c r="F91" i="6" s="1"/>
  <c r="AW90" i="6"/>
  <c r="AX90" i="6" s="1"/>
  <c r="AY90" i="6" s="1"/>
  <c r="AR90" i="6"/>
  <c r="AS90" i="6" s="1"/>
  <c r="AT90" i="6" s="1"/>
  <c r="AM90" i="6"/>
  <c r="AN90" i="6" s="1"/>
  <c r="AO90" i="6" s="1"/>
  <c r="AH90" i="6"/>
  <c r="AI90" i="6" s="1"/>
  <c r="AC90" i="6"/>
  <c r="AD90" i="6" s="1"/>
  <c r="AE90" i="6" s="1"/>
  <c r="X90" i="6"/>
  <c r="Y90" i="6" s="1"/>
  <c r="Z90" i="6" s="1"/>
  <c r="S90" i="6"/>
  <c r="T90" i="6" s="1"/>
  <c r="U90" i="6" s="1"/>
  <c r="N90" i="6"/>
  <c r="O90" i="6" s="1"/>
  <c r="P90" i="6" s="1"/>
  <c r="I90" i="6"/>
  <c r="J90" i="6" s="1"/>
  <c r="K90" i="6" s="1"/>
  <c r="D90" i="6"/>
  <c r="E90" i="6" s="1"/>
  <c r="F90" i="6" s="1"/>
  <c r="AW89" i="6"/>
  <c r="AX89" i="6" s="1"/>
  <c r="AY89" i="6" s="1"/>
  <c r="AR89" i="6"/>
  <c r="AS89" i="6" s="1"/>
  <c r="AT89" i="6" s="1"/>
  <c r="AM89" i="6"/>
  <c r="AN89" i="6" s="1"/>
  <c r="AO89" i="6" s="1"/>
  <c r="AH89" i="6"/>
  <c r="AI89" i="6" s="1"/>
  <c r="AC89" i="6"/>
  <c r="AD89" i="6" s="1"/>
  <c r="AE89" i="6" s="1"/>
  <c r="X89" i="6"/>
  <c r="Y89" i="6" s="1"/>
  <c r="Z89" i="6" s="1"/>
  <c r="S89" i="6"/>
  <c r="T89" i="6" s="1"/>
  <c r="U89" i="6" s="1"/>
  <c r="N89" i="6"/>
  <c r="O89" i="6" s="1"/>
  <c r="P89" i="6" s="1"/>
  <c r="I89" i="6"/>
  <c r="J89" i="6" s="1"/>
  <c r="K89" i="6" s="1"/>
  <c r="D89" i="6"/>
  <c r="E89" i="6" s="1"/>
  <c r="F89" i="6" s="1"/>
  <c r="AW88" i="6"/>
  <c r="AX88" i="6" s="1"/>
  <c r="AY88" i="6" s="1"/>
  <c r="AR88" i="6"/>
  <c r="AS88" i="6" s="1"/>
  <c r="AT88" i="6" s="1"/>
  <c r="AM88" i="6"/>
  <c r="AN88" i="6" s="1"/>
  <c r="AO88" i="6" s="1"/>
  <c r="AH88" i="6"/>
  <c r="AI88" i="6" s="1"/>
  <c r="AC88" i="6"/>
  <c r="AD88" i="6" s="1"/>
  <c r="AE88" i="6" s="1"/>
  <c r="X88" i="6"/>
  <c r="Y88" i="6" s="1"/>
  <c r="Z88" i="6" s="1"/>
  <c r="S88" i="6"/>
  <c r="T88" i="6" s="1"/>
  <c r="U88" i="6" s="1"/>
  <c r="N88" i="6"/>
  <c r="O88" i="6" s="1"/>
  <c r="P88" i="6" s="1"/>
  <c r="I88" i="6"/>
  <c r="J88" i="6" s="1"/>
  <c r="K88" i="6" s="1"/>
  <c r="D88" i="6"/>
  <c r="E88" i="6" s="1"/>
  <c r="F88" i="6" s="1"/>
  <c r="AW87" i="6"/>
  <c r="AX87" i="6" s="1"/>
  <c r="AY87" i="6" s="1"/>
  <c r="AR87" i="6"/>
  <c r="AS87" i="6" s="1"/>
  <c r="AT87" i="6" s="1"/>
  <c r="AM87" i="6"/>
  <c r="AN87" i="6" s="1"/>
  <c r="AO87" i="6" s="1"/>
  <c r="AH87" i="6"/>
  <c r="AI87" i="6" s="1"/>
  <c r="AC87" i="6"/>
  <c r="AD87" i="6" s="1"/>
  <c r="AE87" i="6" s="1"/>
  <c r="X87" i="6"/>
  <c r="Y87" i="6" s="1"/>
  <c r="Z87" i="6" s="1"/>
  <c r="T87" i="6"/>
  <c r="U87" i="6" s="1"/>
  <c r="S87" i="6"/>
  <c r="N87" i="6"/>
  <c r="O87" i="6" s="1"/>
  <c r="P87" i="6" s="1"/>
  <c r="I87" i="6"/>
  <c r="J87" i="6" s="1"/>
  <c r="K87" i="6" s="1"/>
  <c r="D87" i="6"/>
  <c r="E87" i="6" s="1"/>
  <c r="F87" i="6" s="1"/>
  <c r="AW86" i="6"/>
  <c r="AX86" i="6" s="1"/>
  <c r="AY86" i="6" s="1"/>
  <c r="AR86" i="6"/>
  <c r="AS86" i="6" s="1"/>
  <c r="AT86" i="6" s="1"/>
  <c r="AM86" i="6"/>
  <c r="AN86" i="6" s="1"/>
  <c r="AO86" i="6" s="1"/>
  <c r="AH86" i="6"/>
  <c r="AI86" i="6" s="1"/>
  <c r="AC86" i="6"/>
  <c r="AD86" i="6" s="1"/>
  <c r="AE86" i="6" s="1"/>
  <c r="X86" i="6"/>
  <c r="Y86" i="6" s="1"/>
  <c r="Z86" i="6" s="1"/>
  <c r="S86" i="6"/>
  <c r="T86" i="6" s="1"/>
  <c r="U86" i="6" s="1"/>
  <c r="N86" i="6"/>
  <c r="O86" i="6" s="1"/>
  <c r="P86" i="6" s="1"/>
  <c r="I86" i="6"/>
  <c r="J86" i="6" s="1"/>
  <c r="K86" i="6" s="1"/>
  <c r="D86" i="6"/>
  <c r="E86" i="6" s="1"/>
  <c r="F86" i="6" s="1"/>
  <c r="AW85" i="6"/>
  <c r="AX85" i="6" s="1"/>
  <c r="AY85" i="6" s="1"/>
  <c r="AR85" i="6"/>
  <c r="AS85" i="6" s="1"/>
  <c r="AT85" i="6" s="1"/>
  <c r="AM85" i="6"/>
  <c r="AN85" i="6" s="1"/>
  <c r="AO85" i="6" s="1"/>
  <c r="AH85" i="6"/>
  <c r="AI85" i="6" s="1"/>
  <c r="AC85" i="6"/>
  <c r="AD85" i="6" s="1"/>
  <c r="AE85" i="6" s="1"/>
  <c r="X85" i="6"/>
  <c r="Y85" i="6" s="1"/>
  <c r="Z85" i="6" s="1"/>
  <c r="S85" i="6"/>
  <c r="T85" i="6" s="1"/>
  <c r="U85" i="6" s="1"/>
  <c r="N85" i="6"/>
  <c r="O85" i="6" s="1"/>
  <c r="P85" i="6" s="1"/>
  <c r="I85" i="6"/>
  <c r="J85" i="6" s="1"/>
  <c r="K85" i="6" s="1"/>
  <c r="D85" i="6"/>
  <c r="E85" i="6" s="1"/>
  <c r="F85" i="6" s="1"/>
  <c r="AW84" i="6"/>
  <c r="AX84" i="6" s="1"/>
  <c r="AY84" i="6" s="1"/>
  <c r="AR84" i="6"/>
  <c r="AS84" i="6" s="1"/>
  <c r="AT84" i="6" s="1"/>
  <c r="AM84" i="6"/>
  <c r="AN84" i="6" s="1"/>
  <c r="AO84" i="6" s="1"/>
  <c r="AH84" i="6"/>
  <c r="AI84" i="6" s="1"/>
  <c r="AC84" i="6"/>
  <c r="AD84" i="6" s="1"/>
  <c r="AE84" i="6" s="1"/>
  <c r="X84" i="6"/>
  <c r="Y84" i="6" s="1"/>
  <c r="Z84" i="6" s="1"/>
  <c r="S84" i="6"/>
  <c r="T84" i="6" s="1"/>
  <c r="U84" i="6" s="1"/>
  <c r="O84" i="6"/>
  <c r="P84" i="6" s="1"/>
  <c r="N84" i="6"/>
  <c r="I84" i="6"/>
  <c r="J84" i="6" s="1"/>
  <c r="K84" i="6" s="1"/>
  <c r="D84" i="6"/>
  <c r="E84" i="6" s="1"/>
  <c r="F84" i="6" s="1"/>
  <c r="AW83" i="6"/>
  <c r="AX83" i="6" s="1"/>
  <c r="AY83" i="6" s="1"/>
  <c r="AR83" i="6"/>
  <c r="AS83" i="6" s="1"/>
  <c r="AT83" i="6" s="1"/>
  <c r="AM83" i="6"/>
  <c r="AN83" i="6" s="1"/>
  <c r="AO83" i="6" s="1"/>
  <c r="AH83" i="6"/>
  <c r="AI83" i="6" s="1"/>
  <c r="AC83" i="6"/>
  <c r="AD83" i="6" s="1"/>
  <c r="AE83" i="6" s="1"/>
  <c r="X83" i="6"/>
  <c r="Y83" i="6" s="1"/>
  <c r="Z83" i="6" s="1"/>
  <c r="S83" i="6"/>
  <c r="T83" i="6" s="1"/>
  <c r="U83" i="6" s="1"/>
  <c r="N83" i="6"/>
  <c r="O83" i="6" s="1"/>
  <c r="P83" i="6" s="1"/>
  <c r="I83" i="6"/>
  <c r="J83" i="6" s="1"/>
  <c r="K83" i="6" s="1"/>
  <c r="D83" i="6"/>
  <c r="E83" i="6" s="1"/>
  <c r="F83" i="6" s="1"/>
  <c r="AW82" i="6"/>
  <c r="AX82" i="6" s="1"/>
  <c r="AY82" i="6" s="1"/>
  <c r="AR82" i="6"/>
  <c r="AS82" i="6" s="1"/>
  <c r="AT82" i="6" s="1"/>
  <c r="AM82" i="6"/>
  <c r="AN82" i="6" s="1"/>
  <c r="AO82" i="6" s="1"/>
  <c r="AH82" i="6"/>
  <c r="AI82" i="6" s="1"/>
  <c r="AC82" i="6"/>
  <c r="AD82" i="6" s="1"/>
  <c r="AE82" i="6" s="1"/>
  <c r="X82" i="6"/>
  <c r="Y82" i="6" s="1"/>
  <c r="Z82" i="6" s="1"/>
  <c r="S82" i="6"/>
  <c r="T82" i="6" s="1"/>
  <c r="U82" i="6" s="1"/>
  <c r="N82" i="6"/>
  <c r="O82" i="6" s="1"/>
  <c r="P82" i="6" s="1"/>
  <c r="I82" i="6"/>
  <c r="J82" i="6" s="1"/>
  <c r="K82" i="6" s="1"/>
  <c r="D82" i="6"/>
  <c r="E82" i="6" s="1"/>
  <c r="F82" i="6" s="1"/>
  <c r="AW81" i="6"/>
  <c r="AX81" i="6" s="1"/>
  <c r="AY81" i="6" s="1"/>
  <c r="AR81" i="6"/>
  <c r="AS81" i="6" s="1"/>
  <c r="AT81" i="6" s="1"/>
  <c r="AM81" i="6"/>
  <c r="AN81" i="6" s="1"/>
  <c r="AO81" i="6" s="1"/>
  <c r="AH81" i="6"/>
  <c r="AI81" i="6" s="1"/>
  <c r="AC81" i="6"/>
  <c r="AD81" i="6" s="1"/>
  <c r="AE81" i="6" s="1"/>
  <c r="Z81" i="6"/>
  <c r="X81" i="6"/>
  <c r="Y81" i="6" s="1"/>
  <c r="S81" i="6"/>
  <c r="T81" i="6" s="1"/>
  <c r="U81" i="6" s="1"/>
  <c r="N81" i="6"/>
  <c r="O81" i="6" s="1"/>
  <c r="P81" i="6" s="1"/>
  <c r="I81" i="6"/>
  <c r="J81" i="6" s="1"/>
  <c r="K81" i="6" s="1"/>
  <c r="D81" i="6"/>
  <c r="E81" i="6" s="1"/>
  <c r="F81" i="6" s="1"/>
  <c r="AW80" i="6"/>
  <c r="AX80" i="6" s="1"/>
  <c r="AY80" i="6" s="1"/>
  <c r="AR80" i="6"/>
  <c r="AS80" i="6" s="1"/>
  <c r="AT80" i="6" s="1"/>
  <c r="AM80" i="6"/>
  <c r="AN80" i="6" s="1"/>
  <c r="AO80" i="6" s="1"/>
  <c r="AH80" i="6"/>
  <c r="AI80" i="6" s="1"/>
  <c r="AC80" i="6"/>
  <c r="AD80" i="6" s="1"/>
  <c r="AE80" i="6" s="1"/>
  <c r="X80" i="6"/>
  <c r="Y80" i="6" s="1"/>
  <c r="Z80" i="6" s="1"/>
  <c r="S80" i="6"/>
  <c r="T80" i="6" s="1"/>
  <c r="U80" i="6" s="1"/>
  <c r="N80" i="6"/>
  <c r="O80" i="6" s="1"/>
  <c r="P80" i="6" s="1"/>
  <c r="I80" i="6"/>
  <c r="J80" i="6" s="1"/>
  <c r="K80" i="6" s="1"/>
  <c r="D80" i="6"/>
  <c r="E80" i="6" s="1"/>
  <c r="F80" i="6" s="1"/>
  <c r="AW79" i="6"/>
  <c r="AX79" i="6" s="1"/>
  <c r="AY79" i="6" s="1"/>
  <c r="AR79" i="6"/>
  <c r="AS79" i="6" s="1"/>
  <c r="AT79" i="6" s="1"/>
  <c r="AM79" i="6"/>
  <c r="AN79" i="6" s="1"/>
  <c r="AO79" i="6" s="1"/>
  <c r="AH79" i="6"/>
  <c r="AI79" i="6" s="1"/>
  <c r="AC79" i="6"/>
  <c r="AD79" i="6" s="1"/>
  <c r="AE79" i="6" s="1"/>
  <c r="X79" i="6"/>
  <c r="Y79" i="6" s="1"/>
  <c r="Z79" i="6" s="1"/>
  <c r="S79" i="6"/>
  <c r="T79" i="6" s="1"/>
  <c r="U79" i="6" s="1"/>
  <c r="N79" i="6"/>
  <c r="O79" i="6" s="1"/>
  <c r="P79" i="6" s="1"/>
  <c r="I79" i="6"/>
  <c r="J79" i="6" s="1"/>
  <c r="K79" i="6" s="1"/>
  <c r="D79" i="6"/>
  <c r="E79" i="6" s="1"/>
  <c r="F79" i="6" s="1"/>
  <c r="AW78" i="6"/>
  <c r="AX78" i="6" s="1"/>
  <c r="AY78" i="6" s="1"/>
  <c r="AR78" i="6"/>
  <c r="AS78" i="6" s="1"/>
  <c r="AT78" i="6" s="1"/>
  <c r="AM78" i="6"/>
  <c r="AN78" i="6" s="1"/>
  <c r="AO78" i="6" s="1"/>
  <c r="AH78" i="6"/>
  <c r="AI78" i="6" s="1"/>
  <c r="AC78" i="6"/>
  <c r="AD78" i="6" s="1"/>
  <c r="AE78" i="6" s="1"/>
  <c r="X78" i="6"/>
  <c r="Y78" i="6" s="1"/>
  <c r="Z78" i="6" s="1"/>
  <c r="S78" i="6"/>
  <c r="T78" i="6" s="1"/>
  <c r="U78" i="6" s="1"/>
  <c r="N78" i="6"/>
  <c r="O78" i="6" s="1"/>
  <c r="P78" i="6" s="1"/>
  <c r="I78" i="6"/>
  <c r="J78" i="6" s="1"/>
  <c r="K78" i="6" s="1"/>
  <c r="D78" i="6"/>
  <c r="E78" i="6" s="1"/>
  <c r="F78" i="6" s="1"/>
  <c r="AX77" i="6"/>
  <c r="AY77" i="6" s="1"/>
  <c r="AW77" i="6"/>
  <c r="AR77" i="6"/>
  <c r="AS77" i="6" s="1"/>
  <c r="AT77" i="6" s="1"/>
  <c r="AM77" i="6"/>
  <c r="AN77" i="6" s="1"/>
  <c r="AO77" i="6" s="1"/>
  <c r="AH77" i="6"/>
  <c r="AI77" i="6" s="1"/>
  <c r="AC77" i="6"/>
  <c r="AD77" i="6" s="1"/>
  <c r="AE77" i="6" s="1"/>
  <c r="X77" i="6"/>
  <c r="Y77" i="6" s="1"/>
  <c r="Z77" i="6" s="1"/>
  <c r="S77" i="6"/>
  <c r="T77" i="6" s="1"/>
  <c r="U77" i="6" s="1"/>
  <c r="N77" i="6"/>
  <c r="O77" i="6" s="1"/>
  <c r="P77" i="6" s="1"/>
  <c r="I77" i="6"/>
  <c r="J77" i="6" s="1"/>
  <c r="K77" i="6" s="1"/>
  <c r="D77" i="6"/>
  <c r="E77" i="6" s="1"/>
  <c r="F77" i="6" s="1"/>
  <c r="AW76" i="6"/>
  <c r="AX76" i="6" s="1"/>
  <c r="AY76" i="6" s="1"/>
  <c r="AR76" i="6"/>
  <c r="AS76" i="6" s="1"/>
  <c r="AT76" i="6" s="1"/>
  <c r="AM76" i="6"/>
  <c r="AN76" i="6" s="1"/>
  <c r="AO76" i="6" s="1"/>
  <c r="AH76" i="6"/>
  <c r="AI76" i="6" s="1"/>
  <c r="AC76" i="6"/>
  <c r="AD76" i="6" s="1"/>
  <c r="AE76" i="6" s="1"/>
  <c r="X76" i="6"/>
  <c r="Y76" i="6" s="1"/>
  <c r="Z76" i="6" s="1"/>
  <c r="S76" i="6"/>
  <c r="T76" i="6" s="1"/>
  <c r="U76" i="6" s="1"/>
  <c r="N76" i="6"/>
  <c r="O76" i="6" s="1"/>
  <c r="P76" i="6" s="1"/>
  <c r="I76" i="6"/>
  <c r="J76" i="6" s="1"/>
  <c r="K76" i="6" s="1"/>
  <c r="E76" i="6"/>
  <c r="F76" i="6" s="1"/>
  <c r="D76" i="6"/>
  <c r="AW75" i="6"/>
  <c r="AX75" i="6" s="1"/>
  <c r="AY75" i="6" s="1"/>
  <c r="AR75" i="6"/>
  <c r="AS75" i="6" s="1"/>
  <c r="AT75" i="6" s="1"/>
  <c r="AM75" i="6"/>
  <c r="AN75" i="6" s="1"/>
  <c r="AO75" i="6" s="1"/>
  <c r="AH75" i="6"/>
  <c r="AI75" i="6" s="1"/>
  <c r="AC75" i="6"/>
  <c r="AD75" i="6" s="1"/>
  <c r="AE75" i="6" s="1"/>
  <c r="X75" i="6"/>
  <c r="Y75" i="6" s="1"/>
  <c r="Z75" i="6" s="1"/>
  <c r="T75" i="6"/>
  <c r="U75" i="6" s="1"/>
  <c r="S75" i="6"/>
  <c r="N75" i="6"/>
  <c r="O75" i="6" s="1"/>
  <c r="P75" i="6" s="1"/>
  <c r="I75" i="6"/>
  <c r="J75" i="6" s="1"/>
  <c r="K75" i="6" s="1"/>
  <c r="D75" i="6"/>
  <c r="E75" i="6" s="1"/>
  <c r="F75" i="6" s="1"/>
  <c r="AW74" i="6"/>
  <c r="AX74" i="6" s="1"/>
  <c r="AY74" i="6" s="1"/>
  <c r="AR74" i="6"/>
  <c r="AS74" i="6" s="1"/>
  <c r="AT74" i="6" s="1"/>
  <c r="AM74" i="6"/>
  <c r="AN74" i="6" s="1"/>
  <c r="AO74" i="6" s="1"/>
  <c r="AH74" i="6"/>
  <c r="AI74" i="6" s="1"/>
  <c r="AC74" i="6"/>
  <c r="AD74" i="6" s="1"/>
  <c r="AE74" i="6" s="1"/>
  <c r="X74" i="6"/>
  <c r="Y74" i="6" s="1"/>
  <c r="Z74" i="6" s="1"/>
  <c r="S74" i="6"/>
  <c r="T74" i="6" s="1"/>
  <c r="U74" i="6" s="1"/>
  <c r="N74" i="6"/>
  <c r="O74" i="6" s="1"/>
  <c r="P74" i="6" s="1"/>
  <c r="I74" i="6"/>
  <c r="J74" i="6" s="1"/>
  <c r="K74" i="6" s="1"/>
  <c r="D74" i="6"/>
  <c r="E74" i="6" s="1"/>
  <c r="F74" i="6" s="1"/>
  <c r="AX73" i="6"/>
  <c r="AY73" i="6" s="1"/>
  <c r="AW73" i="6"/>
  <c r="AR73" i="6"/>
  <c r="AS73" i="6" s="1"/>
  <c r="AT73" i="6" s="1"/>
  <c r="AM73" i="6"/>
  <c r="AN73" i="6" s="1"/>
  <c r="AO73" i="6" s="1"/>
  <c r="AI73" i="6"/>
  <c r="AH73" i="6"/>
  <c r="AC73" i="6"/>
  <c r="AD73" i="6" s="1"/>
  <c r="AE73" i="6" s="1"/>
  <c r="X73" i="6"/>
  <c r="Y73" i="6" s="1"/>
  <c r="Z73" i="6" s="1"/>
  <c r="S73" i="6"/>
  <c r="T73" i="6" s="1"/>
  <c r="U73" i="6" s="1"/>
  <c r="N73" i="6"/>
  <c r="O73" i="6" s="1"/>
  <c r="P73" i="6" s="1"/>
  <c r="I73" i="6"/>
  <c r="J73" i="6" s="1"/>
  <c r="K73" i="6" s="1"/>
  <c r="D73" i="6"/>
  <c r="E73" i="6" s="1"/>
  <c r="F73" i="6" s="1"/>
  <c r="AW72" i="6"/>
  <c r="AX72" i="6" s="1"/>
  <c r="AY72" i="6" s="1"/>
  <c r="AR72" i="6"/>
  <c r="AS72" i="6" s="1"/>
  <c r="AT72" i="6" s="1"/>
  <c r="AM72" i="6"/>
  <c r="AN72" i="6" s="1"/>
  <c r="AO72" i="6" s="1"/>
  <c r="AH72" i="6"/>
  <c r="AI72" i="6" s="1"/>
  <c r="AC72" i="6"/>
  <c r="AD72" i="6" s="1"/>
  <c r="AE72" i="6" s="1"/>
  <c r="X72" i="6"/>
  <c r="Y72" i="6" s="1"/>
  <c r="Z72" i="6" s="1"/>
  <c r="S72" i="6"/>
  <c r="T72" i="6" s="1"/>
  <c r="U72" i="6" s="1"/>
  <c r="N72" i="6"/>
  <c r="O72" i="6" s="1"/>
  <c r="P72" i="6" s="1"/>
  <c r="I72" i="6"/>
  <c r="J72" i="6" s="1"/>
  <c r="K72" i="6" s="1"/>
  <c r="D72" i="6"/>
  <c r="E72" i="6" s="1"/>
  <c r="F72" i="6" s="1"/>
  <c r="AW71" i="6"/>
  <c r="AX71" i="6" s="1"/>
  <c r="AY71" i="6" s="1"/>
  <c r="AR71" i="6"/>
  <c r="AS71" i="6" s="1"/>
  <c r="AT71" i="6" s="1"/>
  <c r="AM71" i="6"/>
  <c r="AN71" i="6" s="1"/>
  <c r="AO71" i="6" s="1"/>
  <c r="AH71" i="6"/>
  <c r="AI71" i="6" s="1"/>
  <c r="AC71" i="6"/>
  <c r="AD71" i="6" s="1"/>
  <c r="AE71" i="6" s="1"/>
  <c r="X71" i="6"/>
  <c r="Y71" i="6" s="1"/>
  <c r="Z71" i="6" s="1"/>
  <c r="S71" i="6"/>
  <c r="T71" i="6" s="1"/>
  <c r="U71" i="6" s="1"/>
  <c r="N71" i="6"/>
  <c r="O71" i="6" s="1"/>
  <c r="P71" i="6" s="1"/>
  <c r="I71" i="6"/>
  <c r="J71" i="6" s="1"/>
  <c r="K71" i="6" s="1"/>
  <c r="D71" i="6"/>
  <c r="E71" i="6" s="1"/>
  <c r="F71" i="6" s="1"/>
  <c r="AW70" i="6"/>
  <c r="AX70" i="6" s="1"/>
  <c r="AY70" i="6" s="1"/>
  <c r="AR70" i="6"/>
  <c r="AS70" i="6" s="1"/>
  <c r="AT70" i="6" s="1"/>
  <c r="AM70" i="6"/>
  <c r="AN70" i="6" s="1"/>
  <c r="AO70" i="6" s="1"/>
  <c r="AH70" i="6"/>
  <c r="AI70" i="6" s="1"/>
  <c r="AC70" i="6"/>
  <c r="AD70" i="6" s="1"/>
  <c r="AE70" i="6" s="1"/>
  <c r="X70" i="6"/>
  <c r="Y70" i="6" s="1"/>
  <c r="Z70" i="6" s="1"/>
  <c r="S70" i="6"/>
  <c r="T70" i="6" s="1"/>
  <c r="U70" i="6" s="1"/>
  <c r="N70" i="6"/>
  <c r="O70" i="6" s="1"/>
  <c r="P70" i="6" s="1"/>
  <c r="I70" i="6"/>
  <c r="J70" i="6" s="1"/>
  <c r="K70" i="6" s="1"/>
  <c r="D70" i="6"/>
  <c r="E70" i="6" s="1"/>
  <c r="F70" i="6" s="1"/>
  <c r="AW69" i="6"/>
  <c r="AX69" i="6" s="1"/>
  <c r="AY69" i="6" s="1"/>
  <c r="AR69" i="6"/>
  <c r="AS69" i="6" s="1"/>
  <c r="AT69" i="6" s="1"/>
  <c r="AM69" i="6"/>
  <c r="AN69" i="6" s="1"/>
  <c r="AO69" i="6" s="1"/>
  <c r="AH69" i="6"/>
  <c r="AI69" i="6" s="1"/>
  <c r="AC69" i="6"/>
  <c r="AD69" i="6" s="1"/>
  <c r="AE69" i="6" s="1"/>
  <c r="X69" i="6"/>
  <c r="Y69" i="6" s="1"/>
  <c r="Z69" i="6" s="1"/>
  <c r="S69" i="6"/>
  <c r="T69" i="6" s="1"/>
  <c r="U69" i="6" s="1"/>
  <c r="N69" i="6"/>
  <c r="O69" i="6" s="1"/>
  <c r="P69" i="6" s="1"/>
  <c r="I69" i="6"/>
  <c r="J69" i="6" s="1"/>
  <c r="K69" i="6" s="1"/>
  <c r="D69" i="6"/>
  <c r="E69" i="6" s="1"/>
  <c r="F69" i="6" s="1"/>
  <c r="AW68" i="6"/>
  <c r="AX68" i="6" s="1"/>
  <c r="AY68" i="6" s="1"/>
  <c r="AR68" i="6"/>
  <c r="AS68" i="6" s="1"/>
  <c r="AT68" i="6" s="1"/>
  <c r="AM68" i="6"/>
  <c r="AN68" i="6" s="1"/>
  <c r="AO68" i="6" s="1"/>
  <c r="AH68" i="6"/>
  <c r="AI68" i="6" s="1"/>
  <c r="AC68" i="6"/>
  <c r="AD68" i="6" s="1"/>
  <c r="AE68" i="6" s="1"/>
  <c r="X68" i="6"/>
  <c r="Y68" i="6" s="1"/>
  <c r="Z68" i="6" s="1"/>
  <c r="S68" i="6"/>
  <c r="T68" i="6" s="1"/>
  <c r="U68" i="6" s="1"/>
  <c r="N68" i="6"/>
  <c r="O68" i="6" s="1"/>
  <c r="P68" i="6" s="1"/>
  <c r="I68" i="6"/>
  <c r="J68" i="6" s="1"/>
  <c r="K68" i="6" s="1"/>
  <c r="E68" i="6"/>
  <c r="F68" i="6" s="1"/>
  <c r="D68" i="6"/>
  <c r="AW67" i="6"/>
  <c r="AX67" i="6" s="1"/>
  <c r="AY67" i="6" s="1"/>
  <c r="AR67" i="6"/>
  <c r="AS67" i="6" s="1"/>
  <c r="AT67" i="6" s="1"/>
  <c r="AM67" i="6"/>
  <c r="AN67" i="6" s="1"/>
  <c r="AO67" i="6" s="1"/>
  <c r="AH67" i="6"/>
  <c r="AI67" i="6" s="1"/>
  <c r="AC67" i="6"/>
  <c r="AD67" i="6" s="1"/>
  <c r="AE67" i="6" s="1"/>
  <c r="X67" i="6"/>
  <c r="Y67" i="6" s="1"/>
  <c r="Z67" i="6" s="1"/>
  <c r="S67" i="6"/>
  <c r="T67" i="6" s="1"/>
  <c r="U67" i="6" s="1"/>
  <c r="N67" i="6"/>
  <c r="O67" i="6" s="1"/>
  <c r="P67" i="6" s="1"/>
  <c r="I67" i="6"/>
  <c r="J67" i="6" s="1"/>
  <c r="K67" i="6" s="1"/>
  <c r="D67" i="6"/>
  <c r="E67" i="6" s="1"/>
  <c r="F67" i="6" s="1"/>
  <c r="AX66" i="6"/>
  <c r="AY66" i="6" s="1"/>
  <c r="AW66" i="6"/>
  <c r="AR66" i="6"/>
  <c r="AS66" i="6" s="1"/>
  <c r="AT66" i="6" s="1"/>
  <c r="AM66" i="6"/>
  <c r="AN66" i="6" s="1"/>
  <c r="AO66" i="6" s="1"/>
  <c r="AI66" i="6"/>
  <c r="AH66" i="6"/>
  <c r="AC66" i="6"/>
  <c r="AD66" i="6" s="1"/>
  <c r="AE66" i="6" s="1"/>
  <c r="X66" i="6"/>
  <c r="Y66" i="6" s="1"/>
  <c r="Z66" i="6" s="1"/>
  <c r="S66" i="6"/>
  <c r="T66" i="6" s="1"/>
  <c r="U66" i="6" s="1"/>
  <c r="N66" i="6"/>
  <c r="O66" i="6" s="1"/>
  <c r="P66" i="6" s="1"/>
  <c r="I66" i="6"/>
  <c r="J66" i="6" s="1"/>
  <c r="K66" i="6" s="1"/>
  <c r="D66" i="6"/>
  <c r="E66" i="6" s="1"/>
  <c r="F66" i="6" s="1"/>
  <c r="AW65" i="6"/>
  <c r="AX65" i="6" s="1"/>
  <c r="AY65" i="6" s="1"/>
  <c r="AR65" i="6"/>
  <c r="AS65" i="6" s="1"/>
  <c r="AT65" i="6" s="1"/>
  <c r="AM65" i="6"/>
  <c r="AN65" i="6" s="1"/>
  <c r="AO65" i="6" s="1"/>
  <c r="AH65" i="6"/>
  <c r="AI65" i="6" s="1"/>
  <c r="AC65" i="6"/>
  <c r="AD65" i="6" s="1"/>
  <c r="AE65" i="6" s="1"/>
  <c r="X65" i="6"/>
  <c r="Y65" i="6" s="1"/>
  <c r="Z65" i="6" s="1"/>
  <c r="S65" i="6"/>
  <c r="T65" i="6" s="1"/>
  <c r="U65" i="6" s="1"/>
  <c r="N65" i="6"/>
  <c r="O65" i="6" s="1"/>
  <c r="P65" i="6" s="1"/>
  <c r="I65" i="6"/>
  <c r="J65" i="6" s="1"/>
  <c r="K65" i="6" s="1"/>
  <c r="D65" i="6"/>
  <c r="E65" i="6" s="1"/>
  <c r="F65" i="6" s="1"/>
  <c r="AW64" i="6"/>
  <c r="AX64" i="6" s="1"/>
  <c r="AY64" i="6" s="1"/>
  <c r="AR64" i="6"/>
  <c r="AS64" i="6" s="1"/>
  <c r="AT64" i="6" s="1"/>
  <c r="AM64" i="6"/>
  <c r="AN64" i="6" s="1"/>
  <c r="AO64" i="6" s="1"/>
  <c r="AH64" i="6"/>
  <c r="AI64" i="6" s="1"/>
  <c r="AC64" i="6"/>
  <c r="AD64" i="6" s="1"/>
  <c r="AE64" i="6" s="1"/>
  <c r="X64" i="6"/>
  <c r="Y64" i="6" s="1"/>
  <c r="Z64" i="6" s="1"/>
  <c r="S64" i="6"/>
  <c r="T64" i="6" s="1"/>
  <c r="U64" i="6" s="1"/>
  <c r="N64" i="6"/>
  <c r="O64" i="6" s="1"/>
  <c r="P64" i="6" s="1"/>
  <c r="I64" i="6"/>
  <c r="J64" i="6" s="1"/>
  <c r="K64" i="6" s="1"/>
  <c r="D64" i="6"/>
  <c r="E64" i="6" s="1"/>
  <c r="F64" i="6" s="1"/>
  <c r="AW63" i="6"/>
  <c r="AX63" i="6" s="1"/>
  <c r="AY63" i="6" s="1"/>
  <c r="AR63" i="6"/>
  <c r="AS63" i="6" s="1"/>
  <c r="AT63" i="6" s="1"/>
  <c r="AM63" i="6"/>
  <c r="AN63" i="6" s="1"/>
  <c r="AO63" i="6" s="1"/>
  <c r="AI63" i="6"/>
  <c r="AH63" i="6"/>
  <c r="AC63" i="6"/>
  <c r="AD63" i="6" s="1"/>
  <c r="AE63" i="6" s="1"/>
  <c r="X63" i="6"/>
  <c r="Y63" i="6" s="1"/>
  <c r="Z63" i="6" s="1"/>
  <c r="S63" i="6"/>
  <c r="T63" i="6" s="1"/>
  <c r="U63" i="6" s="1"/>
  <c r="N63" i="6"/>
  <c r="O63" i="6" s="1"/>
  <c r="P63" i="6" s="1"/>
  <c r="I63" i="6"/>
  <c r="J63" i="6" s="1"/>
  <c r="K63" i="6" s="1"/>
  <c r="D63" i="6"/>
  <c r="E63" i="6" s="1"/>
  <c r="F63" i="6" s="1"/>
  <c r="AW62" i="6"/>
  <c r="AX62" i="6" s="1"/>
  <c r="AY62" i="6" s="1"/>
  <c r="AR62" i="6"/>
  <c r="AS62" i="6" s="1"/>
  <c r="AT62" i="6" s="1"/>
  <c r="AM62" i="6"/>
  <c r="AN62" i="6" s="1"/>
  <c r="AO62" i="6" s="1"/>
  <c r="AH62" i="6"/>
  <c r="AI62" i="6" s="1"/>
  <c r="AC62" i="6"/>
  <c r="AD62" i="6" s="1"/>
  <c r="AE62" i="6" s="1"/>
  <c r="X62" i="6"/>
  <c r="Y62" i="6" s="1"/>
  <c r="Z62" i="6" s="1"/>
  <c r="S62" i="6"/>
  <c r="T62" i="6" s="1"/>
  <c r="U62" i="6" s="1"/>
  <c r="N62" i="6"/>
  <c r="O62" i="6" s="1"/>
  <c r="P62" i="6" s="1"/>
  <c r="I62" i="6"/>
  <c r="J62" i="6" s="1"/>
  <c r="K62" i="6" s="1"/>
  <c r="D62" i="6"/>
  <c r="E62" i="6" s="1"/>
  <c r="F62" i="6" s="1"/>
  <c r="AW61" i="6"/>
  <c r="AX61" i="6" s="1"/>
  <c r="AY61" i="6" s="1"/>
  <c r="AR61" i="6"/>
  <c r="AS61" i="6" s="1"/>
  <c r="AT61" i="6" s="1"/>
  <c r="AM61" i="6"/>
  <c r="AN61" i="6" s="1"/>
  <c r="AO61" i="6" s="1"/>
  <c r="AH61" i="6"/>
  <c r="AI61" i="6" s="1"/>
  <c r="AC61" i="6"/>
  <c r="AD61" i="6" s="1"/>
  <c r="AE61" i="6" s="1"/>
  <c r="X61" i="6"/>
  <c r="Y61" i="6" s="1"/>
  <c r="Z61" i="6" s="1"/>
  <c r="S61" i="6"/>
  <c r="T61" i="6" s="1"/>
  <c r="U61" i="6" s="1"/>
  <c r="N61" i="6"/>
  <c r="O61" i="6" s="1"/>
  <c r="P61" i="6" s="1"/>
  <c r="I61" i="6"/>
  <c r="J61" i="6" s="1"/>
  <c r="K61" i="6" s="1"/>
  <c r="D61" i="6"/>
  <c r="E61" i="6" s="1"/>
  <c r="F61" i="6" s="1"/>
  <c r="AW60" i="6"/>
  <c r="AX60" i="6" s="1"/>
  <c r="AY60" i="6" s="1"/>
  <c r="AR60" i="6"/>
  <c r="AS60" i="6" s="1"/>
  <c r="AT60" i="6" s="1"/>
  <c r="AM60" i="6"/>
  <c r="AN60" i="6" s="1"/>
  <c r="AO60" i="6" s="1"/>
  <c r="AH60" i="6"/>
  <c r="AI60" i="6" s="1"/>
  <c r="AC60" i="6"/>
  <c r="AD60" i="6" s="1"/>
  <c r="AE60" i="6" s="1"/>
  <c r="X60" i="6"/>
  <c r="Y60" i="6" s="1"/>
  <c r="Z60" i="6" s="1"/>
  <c r="S60" i="6"/>
  <c r="T60" i="6" s="1"/>
  <c r="U60" i="6" s="1"/>
  <c r="N60" i="6"/>
  <c r="O60" i="6" s="1"/>
  <c r="P60" i="6" s="1"/>
  <c r="I60" i="6"/>
  <c r="J60" i="6" s="1"/>
  <c r="K60" i="6" s="1"/>
  <c r="D60" i="6"/>
  <c r="E60" i="6" s="1"/>
  <c r="F60" i="6" s="1"/>
  <c r="AW59" i="6"/>
  <c r="AX59" i="6" s="1"/>
  <c r="AY59" i="6" s="1"/>
  <c r="AR59" i="6"/>
  <c r="AS59" i="6" s="1"/>
  <c r="AT59" i="6" s="1"/>
  <c r="AM59" i="6"/>
  <c r="AN59" i="6" s="1"/>
  <c r="AO59" i="6" s="1"/>
  <c r="AH59" i="6"/>
  <c r="AI59" i="6" s="1"/>
  <c r="AC59" i="6"/>
  <c r="AD59" i="6" s="1"/>
  <c r="AE59" i="6" s="1"/>
  <c r="X59" i="6"/>
  <c r="Y59" i="6" s="1"/>
  <c r="Z59" i="6" s="1"/>
  <c r="S59" i="6"/>
  <c r="T59" i="6" s="1"/>
  <c r="U59" i="6" s="1"/>
  <c r="N59" i="6"/>
  <c r="O59" i="6" s="1"/>
  <c r="P59" i="6" s="1"/>
  <c r="I59" i="6"/>
  <c r="J59" i="6" s="1"/>
  <c r="K59" i="6" s="1"/>
  <c r="D59" i="6"/>
  <c r="E59" i="6" s="1"/>
  <c r="F59" i="6" s="1"/>
  <c r="AW58" i="6"/>
  <c r="AX58" i="6" s="1"/>
  <c r="AY58" i="6" s="1"/>
  <c r="AR58" i="6"/>
  <c r="AS58" i="6" s="1"/>
  <c r="AT58" i="6" s="1"/>
  <c r="AM58" i="6"/>
  <c r="AN58" i="6" s="1"/>
  <c r="AO58" i="6" s="1"/>
  <c r="AH58" i="6"/>
  <c r="AI58" i="6" s="1"/>
  <c r="AC58" i="6"/>
  <c r="AD58" i="6" s="1"/>
  <c r="AE58" i="6" s="1"/>
  <c r="X58" i="6"/>
  <c r="Y58" i="6" s="1"/>
  <c r="Z58" i="6" s="1"/>
  <c r="S58" i="6"/>
  <c r="T58" i="6" s="1"/>
  <c r="U58" i="6" s="1"/>
  <c r="N58" i="6"/>
  <c r="O58" i="6" s="1"/>
  <c r="P58" i="6" s="1"/>
  <c r="I58" i="6"/>
  <c r="J58" i="6" s="1"/>
  <c r="K58" i="6" s="1"/>
  <c r="D58" i="6"/>
  <c r="E58" i="6" s="1"/>
  <c r="F58" i="6" s="1"/>
  <c r="AW57" i="6"/>
  <c r="AX57" i="6" s="1"/>
  <c r="AY57" i="6" s="1"/>
  <c r="AR57" i="6"/>
  <c r="AS57" i="6" s="1"/>
  <c r="AT57" i="6" s="1"/>
  <c r="AM57" i="6"/>
  <c r="AN57" i="6" s="1"/>
  <c r="AO57" i="6" s="1"/>
  <c r="AH57" i="6"/>
  <c r="AI57" i="6" s="1"/>
  <c r="AC57" i="6"/>
  <c r="AD57" i="6" s="1"/>
  <c r="AE57" i="6" s="1"/>
  <c r="X57" i="6"/>
  <c r="Y57" i="6" s="1"/>
  <c r="Z57" i="6" s="1"/>
  <c r="S57" i="6"/>
  <c r="T57" i="6" s="1"/>
  <c r="U57" i="6" s="1"/>
  <c r="N57" i="6"/>
  <c r="O57" i="6" s="1"/>
  <c r="P57" i="6" s="1"/>
  <c r="I57" i="6"/>
  <c r="J57" i="6" s="1"/>
  <c r="K57" i="6" s="1"/>
  <c r="D57" i="6"/>
  <c r="E57" i="6" s="1"/>
  <c r="F57" i="6" s="1"/>
  <c r="AW56" i="6"/>
  <c r="AX56" i="6" s="1"/>
  <c r="AY56" i="6" s="1"/>
  <c r="AR56" i="6"/>
  <c r="AS56" i="6" s="1"/>
  <c r="AT56" i="6" s="1"/>
  <c r="AM56" i="6"/>
  <c r="AN56" i="6" s="1"/>
  <c r="AO56" i="6" s="1"/>
  <c r="AH56" i="6"/>
  <c r="AI56" i="6" s="1"/>
  <c r="AC56" i="6"/>
  <c r="AD56" i="6" s="1"/>
  <c r="AE56" i="6" s="1"/>
  <c r="X56" i="6"/>
  <c r="Y56" i="6" s="1"/>
  <c r="Z56" i="6" s="1"/>
  <c r="S56" i="6"/>
  <c r="T56" i="6" s="1"/>
  <c r="U56" i="6" s="1"/>
  <c r="N56" i="6"/>
  <c r="O56" i="6" s="1"/>
  <c r="P56" i="6" s="1"/>
  <c r="I56" i="6"/>
  <c r="J56" i="6" s="1"/>
  <c r="K56" i="6" s="1"/>
  <c r="D56" i="6"/>
  <c r="E56" i="6" s="1"/>
  <c r="F56" i="6" s="1"/>
  <c r="AW55" i="6"/>
  <c r="AX55" i="6" s="1"/>
  <c r="AY55" i="6" s="1"/>
  <c r="AR55" i="6"/>
  <c r="AS55" i="6" s="1"/>
  <c r="AT55" i="6" s="1"/>
  <c r="AM55" i="6"/>
  <c r="AN55" i="6" s="1"/>
  <c r="AO55" i="6" s="1"/>
  <c r="AH55" i="6"/>
  <c r="AI55" i="6" s="1"/>
  <c r="AC55" i="6"/>
  <c r="AD55" i="6" s="1"/>
  <c r="AE55" i="6" s="1"/>
  <c r="X55" i="6"/>
  <c r="Y55" i="6" s="1"/>
  <c r="Z55" i="6" s="1"/>
  <c r="S55" i="6"/>
  <c r="T55" i="6" s="1"/>
  <c r="U55" i="6" s="1"/>
  <c r="N55" i="6"/>
  <c r="O55" i="6" s="1"/>
  <c r="P55" i="6" s="1"/>
  <c r="I55" i="6"/>
  <c r="J55" i="6" s="1"/>
  <c r="K55" i="6" s="1"/>
  <c r="D55" i="6"/>
  <c r="E55" i="6" s="1"/>
  <c r="F55" i="6" s="1"/>
  <c r="AW54" i="6"/>
  <c r="AX54" i="6" s="1"/>
  <c r="AY54" i="6" s="1"/>
  <c r="AR54" i="6"/>
  <c r="AS54" i="6" s="1"/>
  <c r="AT54" i="6" s="1"/>
  <c r="AM54" i="6"/>
  <c r="AN54" i="6" s="1"/>
  <c r="AO54" i="6" s="1"/>
  <c r="AH54" i="6"/>
  <c r="AI54" i="6" s="1"/>
  <c r="AC54" i="6"/>
  <c r="AD54" i="6" s="1"/>
  <c r="AE54" i="6" s="1"/>
  <c r="X54" i="6"/>
  <c r="Y54" i="6" s="1"/>
  <c r="Z54" i="6" s="1"/>
  <c r="S54" i="6"/>
  <c r="T54" i="6" s="1"/>
  <c r="U54" i="6" s="1"/>
  <c r="N54" i="6"/>
  <c r="O54" i="6" s="1"/>
  <c r="P54" i="6" s="1"/>
  <c r="I54" i="6"/>
  <c r="J54" i="6" s="1"/>
  <c r="K54" i="6" s="1"/>
  <c r="D54" i="6"/>
  <c r="E54" i="6" s="1"/>
  <c r="F54" i="6" s="1"/>
  <c r="AW53" i="6"/>
  <c r="AX53" i="6" s="1"/>
  <c r="AY53" i="6" s="1"/>
  <c r="AR53" i="6"/>
  <c r="AS53" i="6" s="1"/>
  <c r="AT53" i="6" s="1"/>
  <c r="AM53" i="6"/>
  <c r="AN53" i="6" s="1"/>
  <c r="AO53" i="6" s="1"/>
  <c r="AH53" i="6"/>
  <c r="AI53" i="6" s="1"/>
  <c r="AC53" i="6"/>
  <c r="AD53" i="6" s="1"/>
  <c r="AE53" i="6" s="1"/>
  <c r="X53" i="6"/>
  <c r="Y53" i="6" s="1"/>
  <c r="Z53" i="6" s="1"/>
  <c r="S53" i="6"/>
  <c r="T53" i="6" s="1"/>
  <c r="U53" i="6" s="1"/>
  <c r="N53" i="6"/>
  <c r="O53" i="6" s="1"/>
  <c r="P53" i="6" s="1"/>
  <c r="I53" i="6"/>
  <c r="J53" i="6" s="1"/>
  <c r="K53" i="6" s="1"/>
  <c r="D53" i="6"/>
  <c r="E53" i="6" s="1"/>
  <c r="F53" i="6" s="1"/>
  <c r="AW52" i="6"/>
  <c r="AX52" i="6" s="1"/>
  <c r="AY52" i="6" s="1"/>
  <c r="AS52" i="6"/>
  <c r="AT52" i="6" s="1"/>
  <c r="AR52" i="6"/>
  <c r="AM52" i="6"/>
  <c r="AN52" i="6" s="1"/>
  <c r="AO52" i="6" s="1"/>
  <c r="AH52" i="6"/>
  <c r="AI52" i="6" s="1"/>
  <c r="AC52" i="6"/>
  <c r="AD52" i="6" s="1"/>
  <c r="AE52" i="6" s="1"/>
  <c r="X52" i="6"/>
  <c r="Y52" i="6" s="1"/>
  <c r="Z52" i="6" s="1"/>
  <c r="S52" i="6"/>
  <c r="T52" i="6" s="1"/>
  <c r="U52" i="6" s="1"/>
  <c r="N52" i="6"/>
  <c r="O52" i="6" s="1"/>
  <c r="P52" i="6" s="1"/>
  <c r="I52" i="6"/>
  <c r="J52" i="6" s="1"/>
  <c r="K52" i="6" s="1"/>
  <c r="D52" i="6"/>
  <c r="E52" i="6" s="1"/>
  <c r="F52" i="6" s="1"/>
  <c r="AW51" i="6"/>
  <c r="AX51" i="6" s="1"/>
  <c r="AY51" i="6" s="1"/>
  <c r="AR51" i="6"/>
  <c r="AS51" i="6" s="1"/>
  <c r="AT51" i="6" s="1"/>
  <c r="AM51" i="6"/>
  <c r="AN51" i="6" s="1"/>
  <c r="AO51" i="6" s="1"/>
  <c r="AH51" i="6"/>
  <c r="AI51" i="6" s="1"/>
  <c r="AC51" i="6"/>
  <c r="AD51" i="6" s="1"/>
  <c r="AE51" i="6" s="1"/>
  <c r="X51" i="6"/>
  <c r="Y51" i="6" s="1"/>
  <c r="Z51" i="6" s="1"/>
  <c r="S51" i="6"/>
  <c r="T51" i="6" s="1"/>
  <c r="U51" i="6" s="1"/>
  <c r="N51" i="6"/>
  <c r="O51" i="6" s="1"/>
  <c r="P51" i="6" s="1"/>
  <c r="I51" i="6"/>
  <c r="J51" i="6" s="1"/>
  <c r="K51" i="6" s="1"/>
  <c r="D51" i="6"/>
  <c r="E51" i="6" s="1"/>
  <c r="F51" i="6" s="1"/>
  <c r="AW50" i="6"/>
  <c r="AX50" i="6" s="1"/>
  <c r="AY50" i="6" s="1"/>
  <c r="AR50" i="6"/>
  <c r="AS50" i="6" s="1"/>
  <c r="AT50" i="6" s="1"/>
  <c r="AM50" i="6"/>
  <c r="AN50" i="6" s="1"/>
  <c r="AO50" i="6" s="1"/>
  <c r="AH50" i="6"/>
  <c r="AI50" i="6" s="1"/>
  <c r="AC50" i="6"/>
  <c r="AD50" i="6" s="1"/>
  <c r="AE50" i="6" s="1"/>
  <c r="X50" i="6"/>
  <c r="Y50" i="6" s="1"/>
  <c r="Z50" i="6" s="1"/>
  <c r="S50" i="6"/>
  <c r="T50" i="6" s="1"/>
  <c r="U50" i="6" s="1"/>
  <c r="N50" i="6"/>
  <c r="O50" i="6" s="1"/>
  <c r="P50" i="6" s="1"/>
  <c r="I50" i="6"/>
  <c r="J50" i="6" s="1"/>
  <c r="K50" i="6" s="1"/>
  <c r="D50" i="6"/>
  <c r="E50" i="6" s="1"/>
  <c r="F50" i="6" s="1"/>
  <c r="AX49" i="6"/>
  <c r="AY49" i="6" s="1"/>
  <c r="AW49" i="6"/>
  <c r="AR49" i="6"/>
  <c r="AS49" i="6" s="1"/>
  <c r="AT49" i="6" s="1"/>
  <c r="AM49" i="6"/>
  <c r="AN49" i="6" s="1"/>
  <c r="AO49" i="6" s="1"/>
  <c r="AH49" i="6"/>
  <c r="AI49" i="6" s="1"/>
  <c r="AC49" i="6"/>
  <c r="AD49" i="6" s="1"/>
  <c r="AE49" i="6" s="1"/>
  <c r="X49" i="6"/>
  <c r="Y49" i="6" s="1"/>
  <c r="Z49" i="6" s="1"/>
  <c r="S49" i="6"/>
  <c r="T49" i="6" s="1"/>
  <c r="U49" i="6" s="1"/>
  <c r="N49" i="6"/>
  <c r="O49" i="6" s="1"/>
  <c r="P49" i="6" s="1"/>
  <c r="I49" i="6"/>
  <c r="J49" i="6" s="1"/>
  <c r="K49" i="6" s="1"/>
  <c r="D49" i="6"/>
  <c r="E49" i="6" s="1"/>
  <c r="F49" i="6" s="1"/>
  <c r="AW48" i="6"/>
  <c r="AX48" i="6" s="1"/>
  <c r="AY48" i="6" s="1"/>
  <c r="AS48" i="6"/>
  <c r="AT48" i="6" s="1"/>
  <c r="AR48" i="6"/>
  <c r="AM48" i="6"/>
  <c r="AN48" i="6" s="1"/>
  <c r="AO48" i="6" s="1"/>
  <c r="AH48" i="6"/>
  <c r="AI48" i="6" s="1"/>
  <c r="AC48" i="6"/>
  <c r="AD48" i="6" s="1"/>
  <c r="AE48" i="6" s="1"/>
  <c r="X48" i="6"/>
  <c r="Y48" i="6" s="1"/>
  <c r="Z48" i="6" s="1"/>
  <c r="S48" i="6"/>
  <c r="T48" i="6" s="1"/>
  <c r="U48" i="6" s="1"/>
  <c r="N48" i="6"/>
  <c r="O48" i="6" s="1"/>
  <c r="P48" i="6" s="1"/>
  <c r="I48" i="6"/>
  <c r="J48" i="6" s="1"/>
  <c r="K48" i="6" s="1"/>
  <c r="D48" i="6"/>
  <c r="E48" i="6" s="1"/>
  <c r="F48" i="6" s="1"/>
  <c r="AW47" i="6"/>
  <c r="AX47" i="6" s="1"/>
  <c r="AY47" i="6" s="1"/>
  <c r="AR47" i="6"/>
  <c r="AS47" i="6" s="1"/>
  <c r="AT47" i="6" s="1"/>
  <c r="AM47" i="6"/>
  <c r="AN47" i="6" s="1"/>
  <c r="AO47" i="6" s="1"/>
  <c r="AH47" i="6"/>
  <c r="AI47" i="6" s="1"/>
  <c r="AC47" i="6"/>
  <c r="AD47" i="6" s="1"/>
  <c r="AE47" i="6" s="1"/>
  <c r="X47" i="6"/>
  <c r="Y47" i="6" s="1"/>
  <c r="Z47" i="6" s="1"/>
  <c r="S47" i="6"/>
  <c r="T47" i="6" s="1"/>
  <c r="U47" i="6" s="1"/>
  <c r="N47" i="6"/>
  <c r="O47" i="6" s="1"/>
  <c r="P47" i="6" s="1"/>
  <c r="I47" i="6"/>
  <c r="J47" i="6" s="1"/>
  <c r="K47" i="6" s="1"/>
  <c r="D47" i="6"/>
  <c r="E47" i="6" s="1"/>
  <c r="F47" i="6" s="1"/>
  <c r="AX46" i="6"/>
  <c r="AY46" i="6" s="1"/>
  <c r="AW46" i="6"/>
  <c r="AR46" i="6"/>
  <c r="AS46" i="6" s="1"/>
  <c r="AT46" i="6" s="1"/>
  <c r="AM46" i="6"/>
  <c r="AN46" i="6" s="1"/>
  <c r="AO46" i="6" s="1"/>
  <c r="AH46" i="6"/>
  <c r="AI46" i="6" s="1"/>
  <c r="AC46" i="6"/>
  <c r="AD46" i="6" s="1"/>
  <c r="AE46" i="6" s="1"/>
  <c r="X46" i="6"/>
  <c r="Y46" i="6" s="1"/>
  <c r="Z46" i="6" s="1"/>
  <c r="S46" i="6"/>
  <c r="T46" i="6" s="1"/>
  <c r="U46" i="6" s="1"/>
  <c r="N46" i="6"/>
  <c r="O46" i="6" s="1"/>
  <c r="P46" i="6" s="1"/>
  <c r="I46" i="6"/>
  <c r="J46" i="6" s="1"/>
  <c r="K46" i="6" s="1"/>
  <c r="D46" i="6"/>
  <c r="E46" i="6" s="1"/>
  <c r="F46" i="6" s="1"/>
  <c r="AW45" i="6"/>
  <c r="AX45" i="6" s="1"/>
  <c r="AY45" i="6" s="1"/>
  <c r="AR45" i="6"/>
  <c r="AS45" i="6" s="1"/>
  <c r="AT45" i="6" s="1"/>
  <c r="AM45" i="6"/>
  <c r="AN45" i="6" s="1"/>
  <c r="AO45" i="6" s="1"/>
  <c r="AH45" i="6"/>
  <c r="AI45" i="6" s="1"/>
  <c r="AC45" i="6"/>
  <c r="AD45" i="6" s="1"/>
  <c r="AE45" i="6" s="1"/>
  <c r="X45" i="6"/>
  <c r="Y45" i="6" s="1"/>
  <c r="Z45" i="6" s="1"/>
  <c r="S45" i="6"/>
  <c r="T45" i="6" s="1"/>
  <c r="U45" i="6" s="1"/>
  <c r="N45" i="6"/>
  <c r="O45" i="6" s="1"/>
  <c r="P45" i="6" s="1"/>
  <c r="I45" i="6"/>
  <c r="J45" i="6" s="1"/>
  <c r="K45" i="6" s="1"/>
  <c r="D45" i="6"/>
  <c r="E45" i="6" s="1"/>
  <c r="F45" i="6" s="1"/>
  <c r="AW44" i="6"/>
  <c r="AX44" i="6" s="1"/>
  <c r="AY44" i="6" s="1"/>
  <c r="AR44" i="6"/>
  <c r="AS44" i="6" s="1"/>
  <c r="AT44" i="6" s="1"/>
  <c r="AM44" i="6"/>
  <c r="AN44" i="6" s="1"/>
  <c r="AO44" i="6" s="1"/>
  <c r="AH44" i="6"/>
  <c r="AI44" i="6" s="1"/>
  <c r="AC44" i="6"/>
  <c r="AD44" i="6" s="1"/>
  <c r="AE44" i="6" s="1"/>
  <c r="X44" i="6"/>
  <c r="Y44" i="6" s="1"/>
  <c r="Z44" i="6" s="1"/>
  <c r="S44" i="6"/>
  <c r="T44" i="6" s="1"/>
  <c r="U44" i="6" s="1"/>
  <c r="N44" i="6"/>
  <c r="O44" i="6" s="1"/>
  <c r="P44" i="6" s="1"/>
  <c r="I44" i="6"/>
  <c r="J44" i="6" s="1"/>
  <c r="K44" i="6" s="1"/>
  <c r="D44" i="6"/>
  <c r="E44" i="6" s="1"/>
  <c r="F44" i="6" s="1"/>
  <c r="AW43" i="6"/>
  <c r="AX43" i="6" s="1"/>
  <c r="AY43" i="6" s="1"/>
  <c r="AR43" i="6"/>
  <c r="AS43" i="6" s="1"/>
  <c r="AT43" i="6" s="1"/>
  <c r="AM43" i="6"/>
  <c r="AN43" i="6" s="1"/>
  <c r="AO43" i="6" s="1"/>
  <c r="AH43" i="6"/>
  <c r="AI43" i="6" s="1"/>
  <c r="AC43" i="6"/>
  <c r="AD43" i="6" s="1"/>
  <c r="AE43" i="6" s="1"/>
  <c r="X43" i="6"/>
  <c r="Y43" i="6" s="1"/>
  <c r="Z43" i="6" s="1"/>
  <c r="S43" i="6"/>
  <c r="T43" i="6" s="1"/>
  <c r="U43" i="6" s="1"/>
  <c r="N43" i="6"/>
  <c r="O43" i="6" s="1"/>
  <c r="P43" i="6" s="1"/>
  <c r="I43" i="6"/>
  <c r="J43" i="6" s="1"/>
  <c r="K43" i="6" s="1"/>
  <c r="D43" i="6"/>
  <c r="E43" i="6" s="1"/>
  <c r="F43" i="6" s="1"/>
  <c r="AW42" i="6"/>
  <c r="AX42" i="6" s="1"/>
  <c r="AY42" i="6" s="1"/>
  <c r="AR42" i="6"/>
  <c r="AS42" i="6" s="1"/>
  <c r="AT42" i="6" s="1"/>
  <c r="AM42" i="6"/>
  <c r="AN42" i="6" s="1"/>
  <c r="AO42" i="6" s="1"/>
  <c r="AH42" i="6"/>
  <c r="AI42" i="6" s="1"/>
  <c r="AC42" i="6"/>
  <c r="AD42" i="6" s="1"/>
  <c r="AE42" i="6" s="1"/>
  <c r="X42" i="6"/>
  <c r="Y42" i="6" s="1"/>
  <c r="Z42" i="6" s="1"/>
  <c r="S42" i="6"/>
  <c r="T42" i="6" s="1"/>
  <c r="U42" i="6" s="1"/>
  <c r="N42" i="6"/>
  <c r="O42" i="6" s="1"/>
  <c r="P42" i="6" s="1"/>
  <c r="I42" i="6"/>
  <c r="J42" i="6" s="1"/>
  <c r="K42" i="6" s="1"/>
  <c r="D42" i="6"/>
  <c r="E42" i="6" s="1"/>
  <c r="F42" i="6" s="1"/>
  <c r="AW41" i="6"/>
  <c r="AX41" i="6" s="1"/>
  <c r="AY41" i="6" s="1"/>
  <c r="AR41" i="6"/>
  <c r="AS41" i="6" s="1"/>
  <c r="AT41" i="6" s="1"/>
  <c r="AM41" i="6"/>
  <c r="AN41" i="6" s="1"/>
  <c r="AO41" i="6" s="1"/>
  <c r="AH41" i="6"/>
  <c r="AI41" i="6" s="1"/>
  <c r="AC41" i="6"/>
  <c r="AD41" i="6" s="1"/>
  <c r="AE41" i="6" s="1"/>
  <c r="X41" i="6"/>
  <c r="Y41" i="6" s="1"/>
  <c r="Z41" i="6" s="1"/>
  <c r="S41" i="6"/>
  <c r="T41" i="6" s="1"/>
  <c r="U41" i="6" s="1"/>
  <c r="N41" i="6"/>
  <c r="O41" i="6" s="1"/>
  <c r="P41" i="6" s="1"/>
  <c r="I41" i="6"/>
  <c r="J41" i="6" s="1"/>
  <c r="K41" i="6" s="1"/>
  <c r="D41" i="6"/>
  <c r="E41" i="6" s="1"/>
  <c r="F41" i="6" s="1"/>
  <c r="AX40" i="6"/>
  <c r="AY40" i="6" s="1"/>
  <c r="AW40" i="6"/>
  <c r="AR40" i="6"/>
  <c r="AS40" i="6" s="1"/>
  <c r="AT40" i="6" s="1"/>
  <c r="AM40" i="6"/>
  <c r="AN40" i="6" s="1"/>
  <c r="AO40" i="6" s="1"/>
  <c r="AH40" i="6"/>
  <c r="AI40" i="6" s="1"/>
  <c r="AC40" i="6"/>
  <c r="AD40" i="6" s="1"/>
  <c r="AE40" i="6" s="1"/>
  <c r="X40" i="6"/>
  <c r="Y40" i="6" s="1"/>
  <c r="Z40" i="6" s="1"/>
  <c r="S40" i="6"/>
  <c r="T40" i="6" s="1"/>
  <c r="U40" i="6" s="1"/>
  <c r="N40" i="6"/>
  <c r="O40" i="6" s="1"/>
  <c r="P40" i="6" s="1"/>
  <c r="I40" i="6"/>
  <c r="J40" i="6" s="1"/>
  <c r="K40" i="6" s="1"/>
  <c r="D40" i="6"/>
  <c r="E40" i="6" s="1"/>
  <c r="F40" i="6" s="1"/>
  <c r="AW39" i="6"/>
  <c r="AX39" i="6" s="1"/>
  <c r="AY39" i="6" s="1"/>
  <c r="AR39" i="6"/>
  <c r="AS39" i="6" s="1"/>
  <c r="AT39" i="6" s="1"/>
  <c r="AM39" i="6"/>
  <c r="AN39" i="6" s="1"/>
  <c r="AO39" i="6" s="1"/>
  <c r="AH39" i="6"/>
  <c r="AI39" i="6" s="1"/>
  <c r="AC39" i="6"/>
  <c r="AD39" i="6" s="1"/>
  <c r="AE39" i="6" s="1"/>
  <c r="X39" i="6"/>
  <c r="Y39" i="6" s="1"/>
  <c r="Z39" i="6" s="1"/>
  <c r="S39" i="6"/>
  <c r="T39" i="6" s="1"/>
  <c r="U39" i="6" s="1"/>
  <c r="N39" i="6"/>
  <c r="O39" i="6" s="1"/>
  <c r="P39" i="6" s="1"/>
  <c r="I39" i="6"/>
  <c r="J39" i="6" s="1"/>
  <c r="K39" i="6" s="1"/>
  <c r="D39" i="6"/>
  <c r="E39" i="6" s="1"/>
  <c r="F39" i="6" s="1"/>
  <c r="AW38" i="6"/>
  <c r="AX38" i="6" s="1"/>
  <c r="AY38" i="6" s="1"/>
  <c r="AR38" i="6"/>
  <c r="AS38" i="6" s="1"/>
  <c r="AT38" i="6" s="1"/>
  <c r="AM38" i="6"/>
  <c r="AN38" i="6" s="1"/>
  <c r="AO38" i="6" s="1"/>
  <c r="AH38" i="6"/>
  <c r="AI38" i="6" s="1"/>
  <c r="AC38" i="6"/>
  <c r="AD38" i="6" s="1"/>
  <c r="AE38" i="6" s="1"/>
  <c r="X38" i="6"/>
  <c r="Y38" i="6" s="1"/>
  <c r="Z38" i="6" s="1"/>
  <c r="S38" i="6"/>
  <c r="T38" i="6" s="1"/>
  <c r="U38" i="6" s="1"/>
  <c r="N38" i="6"/>
  <c r="O38" i="6" s="1"/>
  <c r="P38" i="6" s="1"/>
  <c r="I38" i="6"/>
  <c r="J38" i="6" s="1"/>
  <c r="K38" i="6" s="1"/>
  <c r="D38" i="6"/>
  <c r="E38" i="6" s="1"/>
  <c r="F38" i="6" s="1"/>
  <c r="AW37" i="6"/>
  <c r="AX37" i="6" s="1"/>
  <c r="AY37" i="6" s="1"/>
  <c r="AR37" i="6"/>
  <c r="AS37" i="6" s="1"/>
  <c r="AT37" i="6" s="1"/>
  <c r="AM37" i="6"/>
  <c r="AN37" i="6" s="1"/>
  <c r="AO37" i="6" s="1"/>
  <c r="AH37" i="6"/>
  <c r="AI37" i="6" s="1"/>
  <c r="AC37" i="6"/>
  <c r="AD37" i="6" s="1"/>
  <c r="AE37" i="6" s="1"/>
  <c r="X37" i="6"/>
  <c r="Y37" i="6" s="1"/>
  <c r="Z37" i="6" s="1"/>
  <c r="S37" i="6"/>
  <c r="T37" i="6" s="1"/>
  <c r="U37" i="6" s="1"/>
  <c r="N37" i="6"/>
  <c r="O37" i="6" s="1"/>
  <c r="P37" i="6" s="1"/>
  <c r="I37" i="6"/>
  <c r="J37" i="6" s="1"/>
  <c r="K37" i="6" s="1"/>
  <c r="D37" i="6"/>
  <c r="E37" i="6" s="1"/>
  <c r="F37" i="6" s="1"/>
  <c r="AW36" i="6"/>
  <c r="AX36" i="6" s="1"/>
  <c r="AY36" i="6" s="1"/>
  <c r="AR36" i="6"/>
  <c r="AS36" i="6" s="1"/>
  <c r="AT36" i="6" s="1"/>
  <c r="AM36" i="6"/>
  <c r="AN36" i="6" s="1"/>
  <c r="AO36" i="6" s="1"/>
  <c r="AH36" i="6"/>
  <c r="AI36" i="6" s="1"/>
  <c r="AC36" i="6"/>
  <c r="AD36" i="6" s="1"/>
  <c r="AE36" i="6" s="1"/>
  <c r="X36" i="6"/>
  <c r="Y36" i="6" s="1"/>
  <c r="Z36" i="6" s="1"/>
  <c r="S36" i="6"/>
  <c r="T36" i="6" s="1"/>
  <c r="U36" i="6" s="1"/>
  <c r="N36" i="6"/>
  <c r="O36" i="6" s="1"/>
  <c r="P36" i="6" s="1"/>
  <c r="I36" i="6"/>
  <c r="J36" i="6" s="1"/>
  <c r="K36" i="6" s="1"/>
  <c r="E36" i="6"/>
  <c r="F36" i="6" s="1"/>
  <c r="D36" i="6"/>
  <c r="AW35" i="6"/>
  <c r="AX35" i="6" s="1"/>
  <c r="AY35" i="6" s="1"/>
  <c r="AT35" i="6"/>
  <c r="AR35" i="6"/>
  <c r="AS35" i="6" s="1"/>
  <c r="AM35" i="6"/>
  <c r="AN35" i="6" s="1"/>
  <c r="AO35" i="6" s="1"/>
  <c r="AH35" i="6"/>
  <c r="AI35" i="6" s="1"/>
  <c r="AC35" i="6"/>
  <c r="AD35" i="6" s="1"/>
  <c r="AE35" i="6" s="1"/>
  <c r="X35" i="6"/>
  <c r="Y35" i="6" s="1"/>
  <c r="Z35" i="6" s="1"/>
  <c r="S35" i="6"/>
  <c r="T35" i="6" s="1"/>
  <c r="U35" i="6" s="1"/>
  <c r="N35" i="6"/>
  <c r="O35" i="6" s="1"/>
  <c r="P35" i="6" s="1"/>
  <c r="I35" i="6"/>
  <c r="J35" i="6" s="1"/>
  <c r="K35" i="6" s="1"/>
  <c r="D35" i="6"/>
  <c r="E35" i="6" s="1"/>
  <c r="F35" i="6" s="1"/>
  <c r="AW34" i="6"/>
  <c r="AX34" i="6" s="1"/>
  <c r="AY34" i="6" s="1"/>
  <c r="AR34" i="6"/>
  <c r="AS34" i="6" s="1"/>
  <c r="AT34" i="6" s="1"/>
  <c r="AM34" i="6"/>
  <c r="AN34" i="6" s="1"/>
  <c r="AO34" i="6" s="1"/>
  <c r="AH34" i="6"/>
  <c r="AI34" i="6" s="1"/>
  <c r="AC34" i="6"/>
  <c r="AD34" i="6" s="1"/>
  <c r="AE34" i="6" s="1"/>
  <c r="X34" i="6"/>
  <c r="Y34" i="6" s="1"/>
  <c r="Z34" i="6" s="1"/>
  <c r="S34" i="6"/>
  <c r="T34" i="6" s="1"/>
  <c r="U34" i="6" s="1"/>
  <c r="N34" i="6"/>
  <c r="O34" i="6" s="1"/>
  <c r="P34" i="6" s="1"/>
  <c r="I34" i="6"/>
  <c r="J34" i="6" s="1"/>
  <c r="K34" i="6" s="1"/>
  <c r="D34" i="6"/>
  <c r="E34" i="6" s="1"/>
  <c r="F34" i="6" s="1"/>
  <c r="AW33" i="6"/>
  <c r="AX33" i="6" s="1"/>
  <c r="AY33" i="6" s="1"/>
  <c r="AR33" i="6"/>
  <c r="AS33" i="6" s="1"/>
  <c r="AT33" i="6" s="1"/>
  <c r="AM33" i="6"/>
  <c r="AN33" i="6" s="1"/>
  <c r="AO33" i="6" s="1"/>
  <c r="AH33" i="6"/>
  <c r="AI33" i="6" s="1"/>
  <c r="AC33" i="6"/>
  <c r="AD33" i="6" s="1"/>
  <c r="AE33" i="6" s="1"/>
  <c r="X33" i="6"/>
  <c r="Y33" i="6" s="1"/>
  <c r="Z33" i="6" s="1"/>
  <c r="S33" i="6"/>
  <c r="T33" i="6" s="1"/>
  <c r="U33" i="6" s="1"/>
  <c r="N33" i="6"/>
  <c r="O33" i="6" s="1"/>
  <c r="P33" i="6" s="1"/>
  <c r="I33" i="6"/>
  <c r="J33" i="6" s="1"/>
  <c r="K33" i="6" s="1"/>
  <c r="D33" i="6"/>
  <c r="E33" i="6" s="1"/>
  <c r="F33" i="6" s="1"/>
  <c r="AX32" i="6"/>
  <c r="AY32" i="6" s="1"/>
  <c r="AW32" i="6"/>
  <c r="AR32" i="6"/>
  <c r="AS32" i="6" s="1"/>
  <c r="AT32" i="6" s="1"/>
  <c r="AM32" i="6"/>
  <c r="AN32" i="6" s="1"/>
  <c r="AO32" i="6" s="1"/>
  <c r="AH32" i="6"/>
  <c r="AI32" i="6" s="1"/>
  <c r="AC32" i="6"/>
  <c r="AD32" i="6" s="1"/>
  <c r="AE32" i="6" s="1"/>
  <c r="X32" i="6"/>
  <c r="Y32" i="6" s="1"/>
  <c r="Z32" i="6" s="1"/>
  <c r="S32" i="6"/>
  <c r="T32" i="6" s="1"/>
  <c r="U32" i="6" s="1"/>
  <c r="N32" i="6"/>
  <c r="O32" i="6" s="1"/>
  <c r="P32" i="6" s="1"/>
  <c r="I32" i="6"/>
  <c r="J32" i="6" s="1"/>
  <c r="K32" i="6" s="1"/>
  <c r="D32" i="6"/>
  <c r="E32" i="6" s="1"/>
  <c r="F32" i="6" s="1"/>
  <c r="AW31" i="6"/>
  <c r="AX31" i="6" s="1"/>
  <c r="AY31" i="6" s="1"/>
  <c r="AR31" i="6"/>
  <c r="AS31" i="6" s="1"/>
  <c r="AT31" i="6" s="1"/>
  <c r="AM31" i="6"/>
  <c r="AN31" i="6" s="1"/>
  <c r="AO31" i="6" s="1"/>
  <c r="AH31" i="6"/>
  <c r="AI31" i="6" s="1"/>
  <c r="AC31" i="6"/>
  <c r="AD31" i="6" s="1"/>
  <c r="AE31" i="6" s="1"/>
  <c r="X31" i="6"/>
  <c r="Y31" i="6" s="1"/>
  <c r="Z31" i="6" s="1"/>
  <c r="S31" i="6"/>
  <c r="T31" i="6" s="1"/>
  <c r="U31" i="6" s="1"/>
  <c r="N31" i="6"/>
  <c r="O31" i="6" s="1"/>
  <c r="P31" i="6" s="1"/>
  <c r="I31" i="6"/>
  <c r="J31" i="6" s="1"/>
  <c r="K31" i="6" s="1"/>
  <c r="D31" i="6"/>
  <c r="E31" i="6" s="1"/>
  <c r="F31" i="6" s="1"/>
  <c r="AW30" i="6"/>
  <c r="AX30" i="6" s="1"/>
  <c r="AY30" i="6" s="1"/>
  <c r="AR30" i="6"/>
  <c r="AS30" i="6" s="1"/>
  <c r="AT30" i="6" s="1"/>
  <c r="AM30" i="6"/>
  <c r="AN30" i="6" s="1"/>
  <c r="AO30" i="6" s="1"/>
  <c r="AH30" i="6"/>
  <c r="AI30" i="6" s="1"/>
  <c r="AC30" i="6"/>
  <c r="AD30" i="6" s="1"/>
  <c r="AE30" i="6" s="1"/>
  <c r="X30" i="6"/>
  <c r="Y30" i="6" s="1"/>
  <c r="Z30" i="6" s="1"/>
  <c r="S30" i="6"/>
  <c r="T30" i="6" s="1"/>
  <c r="U30" i="6" s="1"/>
  <c r="N30" i="6"/>
  <c r="O30" i="6" s="1"/>
  <c r="P30" i="6" s="1"/>
  <c r="I30" i="6"/>
  <c r="J30" i="6" s="1"/>
  <c r="K30" i="6" s="1"/>
  <c r="D30" i="6"/>
  <c r="E30" i="6" s="1"/>
  <c r="F30" i="6" s="1"/>
  <c r="AW29" i="6"/>
  <c r="AX29" i="6" s="1"/>
  <c r="AY29" i="6" s="1"/>
  <c r="AR29" i="6"/>
  <c r="AS29" i="6" s="1"/>
  <c r="AT29" i="6" s="1"/>
  <c r="AM29" i="6"/>
  <c r="AN29" i="6" s="1"/>
  <c r="AO29" i="6" s="1"/>
  <c r="AH29" i="6"/>
  <c r="AI29" i="6" s="1"/>
  <c r="AC29" i="6"/>
  <c r="AD29" i="6" s="1"/>
  <c r="AE29" i="6" s="1"/>
  <c r="X29" i="6"/>
  <c r="Y29" i="6" s="1"/>
  <c r="Z29" i="6" s="1"/>
  <c r="S29" i="6"/>
  <c r="T29" i="6" s="1"/>
  <c r="U29" i="6" s="1"/>
  <c r="N29" i="6"/>
  <c r="O29" i="6" s="1"/>
  <c r="P29" i="6" s="1"/>
  <c r="I29" i="6"/>
  <c r="J29" i="6" s="1"/>
  <c r="K29" i="6" s="1"/>
  <c r="D29" i="6"/>
  <c r="E29" i="6" s="1"/>
  <c r="F29" i="6" s="1"/>
  <c r="AW28" i="6"/>
  <c r="AX28" i="6" s="1"/>
  <c r="AY28" i="6" s="1"/>
  <c r="AR28" i="6"/>
  <c r="AS28" i="6" s="1"/>
  <c r="AT28" i="6" s="1"/>
  <c r="AM28" i="6"/>
  <c r="AN28" i="6" s="1"/>
  <c r="AO28" i="6" s="1"/>
  <c r="AH28" i="6"/>
  <c r="AI28" i="6" s="1"/>
  <c r="AC28" i="6"/>
  <c r="AD28" i="6" s="1"/>
  <c r="AE28" i="6" s="1"/>
  <c r="X28" i="6"/>
  <c r="Y28" i="6" s="1"/>
  <c r="Z28" i="6" s="1"/>
  <c r="S28" i="6"/>
  <c r="T28" i="6" s="1"/>
  <c r="U28" i="6" s="1"/>
  <c r="N28" i="6"/>
  <c r="O28" i="6" s="1"/>
  <c r="P28" i="6" s="1"/>
  <c r="I28" i="6"/>
  <c r="J28" i="6" s="1"/>
  <c r="K28" i="6" s="1"/>
  <c r="D28" i="6"/>
  <c r="E28" i="6" s="1"/>
  <c r="F28" i="6" s="1"/>
  <c r="AW27" i="6"/>
  <c r="AX27" i="6" s="1"/>
  <c r="AY27" i="6" s="1"/>
  <c r="AR27" i="6"/>
  <c r="AS27" i="6" s="1"/>
  <c r="AT27" i="6" s="1"/>
  <c r="AM27" i="6"/>
  <c r="AN27" i="6" s="1"/>
  <c r="AO27" i="6" s="1"/>
  <c r="AH27" i="6"/>
  <c r="AI27" i="6" s="1"/>
  <c r="AC27" i="6"/>
  <c r="AD27" i="6" s="1"/>
  <c r="AE27" i="6" s="1"/>
  <c r="X27" i="6"/>
  <c r="Y27" i="6" s="1"/>
  <c r="Z27" i="6" s="1"/>
  <c r="S27" i="6"/>
  <c r="T27" i="6" s="1"/>
  <c r="U27" i="6" s="1"/>
  <c r="N27" i="6"/>
  <c r="O27" i="6" s="1"/>
  <c r="P27" i="6" s="1"/>
  <c r="I27" i="6"/>
  <c r="J27" i="6" s="1"/>
  <c r="K27" i="6" s="1"/>
  <c r="D27" i="6"/>
  <c r="E27" i="6" s="1"/>
  <c r="F27" i="6" s="1"/>
  <c r="AW26" i="6"/>
  <c r="AX26" i="6" s="1"/>
  <c r="AY26" i="6" s="1"/>
  <c r="AR26" i="6"/>
  <c r="AS26" i="6" s="1"/>
  <c r="AT26" i="6" s="1"/>
  <c r="AM26" i="6"/>
  <c r="AN26" i="6" s="1"/>
  <c r="AO26" i="6" s="1"/>
  <c r="AH26" i="6"/>
  <c r="AI26" i="6" s="1"/>
  <c r="AC26" i="6"/>
  <c r="AD26" i="6" s="1"/>
  <c r="AE26" i="6" s="1"/>
  <c r="X26" i="6"/>
  <c r="Y26" i="6" s="1"/>
  <c r="Z26" i="6" s="1"/>
  <c r="U26" i="6"/>
  <c r="S26" i="6"/>
  <c r="T26" i="6" s="1"/>
  <c r="P26" i="6"/>
  <c r="N26" i="6"/>
  <c r="O26" i="6" s="1"/>
  <c r="I26" i="6"/>
  <c r="J26" i="6" s="1"/>
  <c r="K26" i="6" s="1"/>
  <c r="D26" i="6"/>
  <c r="E26" i="6" s="1"/>
  <c r="F26" i="6" s="1"/>
  <c r="AW25" i="6"/>
  <c r="AX25" i="6" s="1"/>
  <c r="AY25" i="6" s="1"/>
  <c r="AR25" i="6"/>
  <c r="AS25" i="6" s="1"/>
  <c r="AT25" i="6" s="1"/>
  <c r="AM25" i="6"/>
  <c r="AN25" i="6" s="1"/>
  <c r="AO25" i="6" s="1"/>
  <c r="AH25" i="6"/>
  <c r="AI25" i="6" s="1"/>
  <c r="AC25" i="6"/>
  <c r="AD25" i="6" s="1"/>
  <c r="AE25" i="6" s="1"/>
  <c r="X25" i="6"/>
  <c r="Y25" i="6" s="1"/>
  <c r="Z25" i="6" s="1"/>
  <c r="S25" i="6"/>
  <c r="T25" i="6" s="1"/>
  <c r="U25" i="6" s="1"/>
  <c r="N25" i="6"/>
  <c r="O25" i="6" s="1"/>
  <c r="P25" i="6" s="1"/>
  <c r="I25" i="6"/>
  <c r="J25" i="6" s="1"/>
  <c r="K25" i="6" s="1"/>
  <c r="D25" i="6"/>
  <c r="E25" i="6" s="1"/>
  <c r="F25" i="6" s="1"/>
  <c r="AW24" i="6"/>
  <c r="AX24" i="6" s="1"/>
  <c r="AY24" i="6" s="1"/>
  <c r="AR24" i="6"/>
  <c r="AS24" i="6" s="1"/>
  <c r="AT24" i="6" s="1"/>
  <c r="AM24" i="6"/>
  <c r="AN24" i="6" s="1"/>
  <c r="AO24" i="6" s="1"/>
  <c r="AH24" i="6"/>
  <c r="AI24" i="6" s="1"/>
  <c r="AC24" i="6"/>
  <c r="AD24" i="6" s="1"/>
  <c r="AE24" i="6" s="1"/>
  <c r="X24" i="6"/>
  <c r="Y24" i="6" s="1"/>
  <c r="Z24" i="6" s="1"/>
  <c r="S24" i="6"/>
  <c r="T24" i="6" s="1"/>
  <c r="U24" i="6" s="1"/>
  <c r="N24" i="6"/>
  <c r="O24" i="6" s="1"/>
  <c r="P24" i="6" s="1"/>
  <c r="I24" i="6"/>
  <c r="J24" i="6" s="1"/>
  <c r="K24" i="6" s="1"/>
  <c r="D24" i="6"/>
  <c r="E24" i="6" s="1"/>
  <c r="F24" i="6" s="1"/>
  <c r="AW23" i="6"/>
  <c r="AX23" i="6" s="1"/>
  <c r="AY23" i="6" s="1"/>
  <c r="AR23" i="6"/>
  <c r="AS23" i="6" s="1"/>
  <c r="AT23" i="6" s="1"/>
  <c r="AM23" i="6"/>
  <c r="AN23" i="6" s="1"/>
  <c r="AO23" i="6" s="1"/>
  <c r="AH23" i="6"/>
  <c r="AI23" i="6" s="1"/>
  <c r="AC23" i="6"/>
  <c r="AD23" i="6" s="1"/>
  <c r="AE23" i="6" s="1"/>
  <c r="X23" i="6"/>
  <c r="Y23" i="6" s="1"/>
  <c r="Z23" i="6" s="1"/>
  <c r="S23" i="6"/>
  <c r="T23" i="6" s="1"/>
  <c r="U23" i="6" s="1"/>
  <c r="N23" i="6"/>
  <c r="O23" i="6" s="1"/>
  <c r="P23" i="6" s="1"/>
  <c r="I23" i="6"/>
  <c r="J23" i="6" s="1"/>
  <c r="K23" i="6" s="1"/>
  <c r="D23" i="6"/>
  <c r="E23" i="6" s="1"/>
  <c r="F23" i="6" s="1"/>
  <c r="AW22" i="6"/>
  <c r="AX22" i="6" s="1"/>
  <c r="AY22" i="6" s="1"/>
  <c r="AR22" i="6"/>
  <c r="AS22" i="6" s="1"/>
  <c r="AT22" i="6" s="1"/>
  <c r="AM22" i="6"/>
  <c r="AN22" i="6" s="1"/>
  <c r="AO22" i="6" s="1"/>
  <c r="AH22" i="6"/>
  <c r="AI22" i="6" s="1"/>
  <c r="AC22" i="6"/>
  <c r="AD22" i="6" s="1"/>
  <c r="AE22" i="6" s="1"/>
  <c r="X22" i="6"/>
  <c r="Y22" i="6" s="1"/>
  <c r="Z22" i="6" s="1"/>
  <c r="S22" i="6"/>
  <c r="T22" i="6" s="1"/>
  <c r="U22" i="6" s="1"/>
  <c r="N22" i="6"/>
  <c r="O22" i="6" s="1"/>
  <c r="P22" i="6" s="1"/>
  <c r="I22" i="6"/>
  <c r="J22" i="6" s="1"/>
  <c r="K22" i="6" s="1"/>
  <c r="D22" i="6"/>
  <c r="E22" i="6" s="1"/>
  <c r="F22" i="6" s="1"/>
  <c r="AW21" i="6"/>
  <c r="AX21" i="6" s="1"/>
  <c r="AY21" i="6" s="1"/>
  <c r="AR21" i="6"/>
  <c r="AS21" i="6" s="1"/>
  <c r="AT21" i="6" s="1"/>
  <c r="AM21" i="6"/>
  <c r="AN21" i="6" s="1"/>
  <c r="AO21" i="6" s="1"/>
  <c r="AH21" i="6"/>
  <c r="AI21" i="6" s="1"/>
  <c r="AC21" i="6"/>
  <c r="AD21" i="6" s="1"/>
  <c r="AE21" i="6" s="1"/>
  <c r="X21" i="6"/>
  <c r="Y21" i="6" s="1"/>
  <c r="Z21" i="6" s="1"/>
  <c r="S21" i="6"/>
  <c r="T21" i="6" s="1"/>
  <c r="U21" i="6" s="1"/>
  <c r="N21" i="6"/>
  <c r="O21" i="6" s="1"/>
  <c r="P21" i="6" s="1"/>
  <c r="I21" i="6"/>
  <c r="J21" i="6" s="1"/>
  <c r="K21" i="6" s="1"/>
  <c r="D21" i="6"/>
  <c r="E21" i="6" s="1"/>
  <c r="F21" i="6" s="1"/>
  <c r="AW20" i="6"/>
  <c r="AX20" i="6" s="1"/>
  <c r="AY20" i="6" s="1"/>
  <c r="AR20" i="6"/>
  <c r="AS20" i="6" s="1"/>
  <c r="AT20" i="6" s="1"/>
  <c r="AM20" i="6"/>
  <c r="AN20" i="6" s="1"/>
  <c r="AO20" i="6" s="1"/>
  <c r="AH20" i="6"/>
  <c r="AI20" i="6" s="1"/>
  <c r="AC20" i="6"/>
  <c r="AD20" i="6" s="1"/>
  <c r="AE20" i="6" s="1"/>
  <c r="X20" i="6"/>
  <c r="Y20" i="6" s="1"/>
  <c r="Z20" i="6" s="1"/>
  <c r="S20" i="6"/>
  <c r="T20" i="6" s="1"/>
  <c r="U20" i="6" s="1"/>
  <c r="N20" i="6"/>
  <c r="O20" i="6" s="1"/>
  <c r="P20" i="6" s="1"/>
  <c r="I20" i="6"/>
  <c r="J20" i="6" s="1"/>
  <c r="K20" i="6" s="1"/>
  <c r="D20" i="6"/>
  <c r="E20" i="6" s="1"/>
  <c r="F20" i="6" s="1"/>
  <c r="AW19" i="6"/>
  <c r="AX19" i="6" s="1"/>
  <c r="AY19" i="6" s="1"/>
  <c r="AR19" i="6"/>
  <c r="AS19" i="6" s="1"/>
  <c r="AT19" i="6" s="1"/>
  <c r="AM19" i="6"/>
  <c r="AN19" i="6" s="1"/>
  <c r="AO19" i="6" s="1"/>
  <c r="AH19" i="6"/>
  <c r="AI19" i="6" s="1"/>
  <c r="AC19" i="6"/>
  <c r="AD19" i="6" s="1"/>
  <c r="AE19" i="6" s="1"/>
  <c r="X19" i="6"/>
  <c r="Y19" i="6" s="1"/>
  <c r="Z19" i="6" s="1"/>
  <c r="T19" i="6"/>
  <c r="U19" i="6" s="1"/>
  <c r="S19" i="6"/>
  <c r="N19" i="6"/>
  <c r="O19" i="6" s="1"/>
  <c r="P19" i="6" s="1"/>
  <c r="I19" i="6"/>
  <c r="J19" i="6" s="1"/>
  <c r="K19" i="6" s="1"/>
  <c r="D19" i="6"/>
  <c r="E19" i="6" s="1"/>
  <c r="F19" i="6" s="1"/>
  <c r="AW18" i="6"/>
  <c r="AX18" i="6" s="1"/>
  <c r="AY18" i="6" s="1"/>
  <c r="AR18" i="6"/>
  <c r="AS18" i="6" s="1"/>
  <c r="AT18" i="6" s="1"/>
  <c r="AM18" i="6"/>
  <c r="AN18" i="6" s="1"/>
  <c r="AO18" i="6" s="1"/>
  <c r="AH18" i="6"/>
  <c r="AI18" i="6" s="1"/>
  <c r="AC18" i="6"/>
  <c r="AD18" i="6" s="1"/>
  <c r="AE18" i="6" s="1"/>
  <c r="X18" i="6"/>
  <c r="Y18" i="6" s="1"/>
  <c r="Z18" i="6" s="1"/>
  <c r="S18" i="6"/>
  <c r="T18" i="6" s="1"/>
  <c r="U18" i="6" s="1"/>
  <c r="N18" i="6"/>
  <c r="O18" i="6" s="1"/>
  <c r="P18" i="6" s="1"/>
  <c r="I18" i="6"/>
  <c r="J18" i="6" s="1"/>
  <c r="K18" i="6" s="1"/>
  <c r="D18" i="6"/>
  <c r="E18" i="6" s="1"/>
  <c r="F18" i="6" s="1"/>
  <c r="AW17" i="6"/>
  <c r="AX17" i="6" s="1"/>
  <c r="AY17" i="6" s="1"/>
  <c r="AR17" i="6"/>
  <c r="AS17" i="6" s="1"/>
  <c r="AT17" i="6" s="1"/>
  <c r="AM17" i="6"/>
  <c r="AN17" i="6" s="1"/>
  <c r="AO17" i="6" s="1"/>
  <c r="AH17" i="6"/>
  <c r="AI17" i="6" s="1"/>
  <c r="AC17" i="6"/>
  <c r="AD17" i="6" s="1"/>
  <c r="AE17" i="6" s="1"/>
  <c r="X17" i="6"/>
  <c r="Y17" i="6" s="1"/>
  <c r="Z17" i="6" s="1"/>
  <c r="S17" i="6"/>
  <c r="T17" i="6" s="1"/>
  <c r="U17" i="6" s="1"/>
  <c r="N17" i="6"/>
  <c r="O17" i="6" s="1"/>
  <c r="P17" i="6" s="1"/>
  <c r="I17" i="6"/>
  <c r="J17" i="6" s="1"/>
  <c r="K17" i="6" s="1"/>
  <c r="D17" i="6"/>
  <c r="E17" i="6" s="1"/>
  <c r="F17" i="6" s="1"/>
  <c r="AW16" i="6"/>
  <c r="AX16" i="6" s="1"/>
  <c r="AY16" i="6" s="1"/>
  <c r="AR16" i="6"/>
  <c r="AS16" i="6" s="1"/>
  <c r="AT16" i="6" s="1"/>
  <c r="AM16" i="6"/>
  <c r="AN16" i="6" s="1"/>
  <c r="AO16" i="6" s="1"/>
  <c r="AH16" i="6"/>
  <c r="AI16" i="6" s="1"/>
  <c r="AC16" i="6"/>
  <c r="AD16" i="6" s="1"/>
  <c r="AE16" i="6" s="1"/>
  <c r="X16" i="6"/>
  <c r="Y16" i="6" s="1"/>
  <c r="Z16" i="6" s="1"/>
  <c r="S16" i="6"/>
  <c r="T16" i="6" s="1"/>
  <c r="U16" i="6" s="1"/>
  <c r="N16" i="6"/>
  <c r="O16" i="6" s="1"/>
  <c r="P16" i="6" s="1"/>
  <c r="I16" i="6"/>
  <c r="J16" i="6" s="1"/>
  <c r="K16" i="6" s="1"/>
  <c r="D16" i="6"/>
  <c r="E16" i="6" s="1"/>
  <c r="F16" i="6" s="1"/>
  <c r="AW15" i="6"/>
  <c r="AX15" i="6" s="1"/>
  <c r="AY15" i="6" s="1"/>
  <c r="AR15" i="6"/>
  <c r="AS15" i="6" s="1"/>
  <c r="AT15" i="6" s="1"/>
  <c r="AM15" i="6"/>
  <c r="AN15" i="6" s="1"/>
  <c r="AO15" i="6" s="1"/>
  <c r="AH15" i="6"/>
  <c r="AI15" i="6" s="1"/>
  <c r="AC15" i="6"/>
  <c r="AD15" i="6" s="1"/>
  <c r="AE15" i="6" s="1"/>
  <c r="X15" i="6"/>
  <c r="Y15" i="6" s="1"/>
  <c r="Z15" i="6" s="1"/>
  <c r="S15" i="6"/>
  <c r="T15" i="6" s="1"/>
  <c r="U15" i="6" s="1"/>
  <c r="N15" i="6"/>
  <c r="O15" i="6" s="1"/>
  <c r="P15" i="6" s="1"/>
  <c r="I15" i="6"/>
  <c r="J15" i="6" s="1"/>
  <c r="K15" i="6" s="1"/>
  <c r="D15" i="6"/>
  <c r="E15" i="6" s="1"/>
  <c r="F15" i="6" s="1"/>
  <c r="AW14" i="6"/>
  <c r="AX14" i="6" s="1"/>
  <c r="AY14" i="6" s="1"/>
  <c r="AR14" i="6"/>
  <c r="AS14" i="6" s="1"/>
  <c r="AT14" i="6" s="1"/>
  <c r="AM14" i="6"/>
  <c r="AN14" i="6" s="1"/>
  <c r="AO14" i="6" s="1"/>
  <c r="AH14" i="6"/>
  <c r="AI14" i="6" s="1"/>
  <c r="AC14" i="6"/>
  <c r="AD14" i="6" s="1"/>
  <c r="AE14" i="6" s="1"/>
  <c r="X14" i="6"/>
  <c r="Y14" i="6" s="1"/>
  <c r="Z14" i="6" s="1"/>
  <c r="S14" i="6"/>
  <c r="T14" i="6" s="1"/>
  <c r="U14" i="6" s="1"/>
  <c r="N14" i="6"/>
  <c r="O14" i="6" s="1"/>
  <c r="P14" i="6" s="1"/>
  <c r="I14" i="6"/>
  <c r="J14" i="6" s="1"/>
  <c r="K14" i="6" s="1"/>
  <c r="D14" i="6"/>
  <c r="E14" i="6" s="1"/>
  <c r="F14" i="6" s="1"/>
  <c r="AW13" i="6"/>
  <c r="AX13" i="6" s="1"/>
  <c r="AY13" i="6" s="1"/>
  <c r="AR13" i="6"/>
  <c r="AS13" i="6" s="1"/>
  <c r="AT13" i="6" s="1"/>
  <c r="AM13" i="6"/>
  <c r="AN13" i="6" s="1"/>
  <c r="AO13" i="6" s="1"/>
  <c r="AH13" i="6"/>
  <c r="AI13" i="6" s="1"/>
  <c r="AC13" i="6"/>
  <c r="AD13" i="6" s="1"/>
  <c r="AE13" i="6" s="1"/>
  <c r="X13" i="6"/>
  <c r="Y13" i="6" s="1"/>
  <c r="Z13" i="6" s="1"/>
  <c r="S13" i="6"/>
  <c r="T13" i="6" s="1"/>
  <c r="U13" i="6" s="1"/>
  <c r="N13" i="6"/>
  <c r="O13" i="6" s="1"/>
  <c r="P13" i="6" s="1"/>
  <c r="I13" i="6"/>
  <c r="J13" i="6" s="1"/>
  <c r="K13" i="6" s="1"/>
  <c r="D13" i="6"/>
  <c r="E13" i="6" s="1"/>
  <c r="F13" i="6" s="1"/>
  <c r="AW12" i="6"/>
  <c r="AX12" i="6" s="1"/>
  <c r="AY12" i="6" s="1"/>
  <c r="AR12" i="6"/>
  <c r="AS12" i="6" s="1"/>
  <c r="AT12" i="6" s="1"/>
  <c r="AM12" i="6"/>
  <c r="AN12" i="6" s="1"/>
  <c r="AO12" i="6" s="1"/>
  <c r="AH12" i="6"/>
  <c r="AI12" i="6" s="1"/>
  <c r="AC12" i="6"/>
  <c r="AD12" i="6" s="1"/>
  <c r="AE12" i="6" s="1"/>
  <c r="X12" i="6"/>
  <c r="Y12" i="6" s="1"/>
  <c r="Z12" i="6" s="1"/>
  <c r="S12" i="6"/>
  <c r="T12" i="6" s="1"/>
  <c r="U12" i="6" s="1"/>
  <c r="N12" i="6"/>
  <c r="O12" i="6" s="1"/>
  <c r="P12" i="6" s="1"/>
  <c r="I12" i="6"/>
  <c r="J12" i="6" s="1"/>
  <c r="K12" i="6" s="1"/>
  <c r="D12" i="6"/>
  <c r="E12" i="6" s="1"/>
  <c r="F12" i="6" s="1"/>
  <c r="AW11" i="6"/>
  <c r="AX11" i="6" s="1"/>
  <c r="AY11" i="6" s="1"/>
  <c r="AR11" i="6"/>
  <c r="AS11" i="6" s="1"/>
  <c r="AT11" i="6" s="1"/>
  <c r="AM11" i="6"/>
  <c r="AN11" i="6" s="1"/>
  <c r="AO11" i="6" s="1"/>
  <c r="AH11" i="6"/>
  <c r="AI11" i="6" s="1"/>
  <c r="AC11" i="6"/>
  <c r="AD11" i="6" s="1"/>
  <c r="AE11" i="6" s="1"/>
  <c r="X11" i="6"/>
  <c r="Y11" i="6" s="1"/>
  <c r="Z11" i="6" s="1"/>
  <c r="S11" i="6"/>
  <c r="T11" i="6" s="1"/>
  <c r="U11" i="6" s="1"/>
  <c r="N11" i="6"/>
  <c r="O11" i="6" s="1"/>
  <c r="P11" i="6" s="1"/>
  <c r="I11" i="6"/>
  <c r="J11" i="6" s="1"/>
  <c r="K11" i="6" s="1"/>
  <c r="D11" i="6"/>
  <c r="E11" i="6" s="1"/>
  <c r="F11" i="6" s="1"/>
  <c r="AW10" i="6"/>
  <c r="AX10" i="6" s="1"/>
  <c r="AY10" i="6" s="1"/>
  <c r="AR10" i="6"/>
  <c r="AS10" i="6" s="1"/>
  <c r="AT10" i="6" s="1"/>
  <c r="AM10" i="6"/>
  <c r="AN10" i="6" s="1"/>
  <c r="AO10" i="6" s="1"/>
  <c r="AH10" i="6"/>
  <c r="AI10" i="6" s="1"/>
  <c r="AC10" i="6"/>
  <c r="AD10" i="6" s="1"/>
  <c r="AE10" i="6" s="1"/>
  <c r="X10" i="6"/>
  <c r="Y10" i="6" s="1"/>
  <c r="Z10" i="6" s="1"/>
  <c r="S10" i="6"/>
  <c r="T10" i="6" s="1"/>
  <c r="U10" i="6" s="1"/>
  <c r="N10" i="6"/>
  <c r="O10" i="6" s="1"/>
  <c r="P10" i="6" s="1"/>
  <c r="I10" i="6"/>
  <c r="J10" i="6" s="1"/>
  <c r="K10" i="6" s="1"/>
  <c r="D10" i="6"/>
  <c r="E10" i="6" s="1"/>
  <c r="F10" i="6" s="1"/>
  <c r="AW9" i="6"/>
  <c r="AX9" i="6" s="1"/>
  <c r="AY9" i="6" s="1"/>
  <c r="AR9" i="6"/>
  <c r="AS9" i="6" s="1"/>
  <c r="AT9" i="6" s="1"/>
  <c r="AM9" i="6"/>
  <c r="AN9" i="6" s="1"/>
  <c r="AO9" i="6" s="1"/>
  <c r="AH9" i="6"/>
  <c r="AI9" i="6" s="1"/>
  <c r="AC9" i="6"/>
  <c r="AD9" i="6" s="1"/>
  <c r="AE9" i="6" s="1"/>
  <c r="X9" i="6"/>
  <c r="Y9" i="6" s="1"/>
  <c r="Z9" i="6" s="1"/>
  <c r="S9" i="6"/>
  <c r="T9" i="6" s="1"/>
  <c r="U9" i="6" s="1"/>
  <c r="N9" i="6"/>
  <c r="O9" i="6" s="1"/>
  <c r="P9" i="6" s="1"/>
  <c r="I9" i="6"/>
  <c r="J9" i="6" s="1"/>
  <c r="K9" i="6" s="1"/>
  <c r="D9" i="6"/>
  <c r="E9" i="6" s="1"/>
  <c r="F9" i="6" s="1"/>
  <c r="AW8" i="6"/>
  <c r="AX8" i="6" s="1"/>
  <c r="AY8" i="6" s="1"/>
  <c r="AR8" i="6"/>
  <c r="AS8" i="6" s="1"/>
  <c r="AT8" i="6" s="1"/>
  <c r="AM8" i="6"/>
  <c r="AN8" i="6" s="1"/>
  <c r="AO8" i="6" s="1"/>
  <c r="AH8" i="6"/>
  <c r="AI8" i="6" s="1"/>
  <c r="AJ8" i="6" s="1"/>
  <c r="AC8" i="6"/>
  <c r="AD8" i="6" s="1"/>
  <c r="AE8" i="6" s="1"/>
  <c r="X8" i="6"/>
  <c r="Y8" i="6" s="1"/>
  <c r="Z8" i="6" s="1"/>
  <c r="S8" i="6"/>
  <c r="T8" i="6" s="1"/>
  <c r="U8" i="6" s="1"/>
  <c r="N8" i="6"/>
  <c r="O8" i="6" s="1"/>
  <c r="P8" i="6" s="1"/>
  <c r="I8" i="6"/>
  <c r="J8" i="6" s="1"/>
  <c r="K8" i="6" s="1"/>
  <c r="D8" i="6"/>
  <c r="E8" i="6" s="1"/>
  <c r="F8" i="6" s="1"/>
  <c r="AW7" i="6"/>
  <c r="AX7" i="6" s="1"/>
  <c r="AY7" i="6" s="1"/>
  <c r="AR7" i="6"/>
  <c r="AS7" i="6" s="1"/>
  <c r="AT7" i="6" s="1"/>
  <c r="AM7" i="6"/>
  <c r="AN7" i="6" s="1"/>
  <c r="AO7" i="6" s="1"/>
  <c r="AH7" i="6"/>
  <c r="AI7" i="6" s="1"/>
  <c r="AJ7" i="6" s="1"/>
  <c r="AC7" i="6"/>
  <c r="AD7" i="6" s="1"/>
  <c r="AE7" i="6" s="1"/>
  <c r="X7" i="6"/>
  <c r="Y7" i="6" s="1"/>
  <c r="Z7" i="6" s="1"/>
  <c r="S7" i="6"/>
  <c r="T7" i="6" s="1"/>
  <c r="U7" i="6" s="1"/>
  <c r="N7" i="6"/>
  <c r="O7" i="6" s="1"/>
  <c r="P7" i="6" s="1"/>
  <c r="I7" i="6"/>
  <c r="J7" i="6" s="1"/>
  <c r="K7" i="6" s="1"/>
  <c r="D7" i="6"/>
  <c r="E7" i="6" s="1"/>
  <c r="F7" i="6" s="1"/>
  <c r="AW6" i="6"/>
  <c r="AX6" i="6" s="1"/>
  <c r="AY6" i="6" s="1"/>
  <c r="AR6" i="6"/>
  <c r="AS6" i="6" s="1"/>
  <c r="AT6" i="6" s="1"/>
  <c r="AM6" i="6"/>
  <c r="AN6" i="6" s="1"/>
  <c r="AO6" i="6" s="1"/>
  <c r="AH6" i="6"/>
  <c r="AI6" i="6" s="1"/>
  <c r="AJ6" i="6" s="1"/>
  <c r="AC6" i="6"/>
  <c r="AD6" i="6" s="1"/>
  <c r="AE6" i="6" s="1"/>
  <c r="X6" i="6"/>
  <c r="Y6" i="6" s="1"/>
  <c r="Z6" i="6" s="1"/>
  <c r="S6" i="6"/>
  <c r="T6" i="6" s="1"/>
  <c r="U6" i="6" s="1"/>
  <c r="N6" i="6"/>
  <c r="O6" i="6" s="1"/>
  <c r="P6" i="6" s="1"/>
  <c r="I6" i="6"/>
  <c r="J6" i="6" s="1"/>
  <c r="K6" i="6" s="1"/>
  <c r="D6" i="6"/>
  <c r="E6" i="6" s="1"/>
  <c r="F6" i="6" s="1"/>
  <c r="AW5" i="6"/>
  <c r="AX5" i="6" s="1"/>
  <c r="AY5" i="6" s="1"/>
  <c r="AR5" i="6"/>
  <c r="AS5" i="6" s="1"/>
  <c r="AT5" i="6" s="1"/>
  <c r="AM5" i="6"/>
  <c r="AN5" i="6" s="1"/>
  <c r="AO5" i="6" s="1"/>
  <c r="AH5" i="6"/>
  <c r="AI5" i="6" s="1"/>
  <c r="AJ5" i="6" s="1"/>
  <c r="AC5" i="6"/>
  <c r="AD5" i="6" s="1"/>
  <c r="AE5" i="6" s="1"/>
  <c r="X5" i="6"/>
  <c r="Y5" i="6" s="1"/>
  <c r="Z5" i="6" s="1"/>
  <c r="S5" i="6"/>
  <c r="T5" i="6" s="1"/>
  <c r="U5" i="6" s="1"/>
  <c r="N5" i="6"/>
  <c r="O5" i="6" s="1"/>
  <c r="P5" i="6" s="1"/>
  <c r="I5" i="6"/>
  <c r="J5" i="6" s="1"/>
  <c r="K5" i="6" s="1"/>
  <c r="D5" i="6"/>
  <c r="E5" i="6" s="1"/>
  <c r="F5" i="6" s="1"/>
  <c r="AW4" i="6"/>
  <c r="AX4" i="6" s="1"/>
  <c r="AY4" i="6" s="1"/>
  <c r="AR4" i="6"/>
  <c r="AS4" i="6" s="1"/>
  <c r="AT4" i="6" s="1"/>
  <c r="AM4" i="6"/>
  <c r="AN4" i="6" s="1"/>
  <c r="AO4" i="6" s="1"/>
  <c r="AH4" i="6"/>
  <c r="AI4" i="6" s="1"/>
  <c r="AJ4" i="6" s="1"/>
  <c r="AC4" i="6"/>
  <c r="AD4" i="6" s="1"/>
  <c r="AE4" i="6" s="1"/>
  <c r="X4" i="6"/>
  <c r="Y4" i="6" s="1"/>
  <c r="Z4" i="6" s="1"/>
  <c r="S4" i="6"/>
  <c r="T4" i="6" s="1"/>
  <c r="U4" i="6" s="1"/>
  <c r="N4" i="6"/>
  <c r="O4" i="6" s="1"/>
  <c r="P4" i="6" s="1"/>
  <c r="I4" i="6"/>
  <c r="J4" i="6" s="1"/>
  <c r="K4" i="6" s="1"/>
  <c r="D4" i="6"/>
  <c r="E4" i="6" s="1"/>
  <c r="F4" i="6" s="1"/>
  <c r="AW3" i="6"/>
  <c r="AX3" i="6" s="1"/>
  <c r="AY3" i="6" s="1"/>
  <c r="AR3" i="6"/>
  <c r="AS3" i="6" s="1"/>
  <c r="AT3" i="6" s="1"/>
  <c r="AM3" i="6"/>
  <c r="AN3" i="6" s="1"/>
  <c r="AO3" i="6" s="1"/>
  <c r="AH3" i="6"/>
  <c r="AI3" i="6" s="1"/>
  <c r="AJ3" i="6" s="1"/>
  <c r="AC3" i="6"/>
  <c r="AD3" i="6" s="1"/>
  <c r="AE3" i="6" s="1"/>
  <c r="X3" i="6"/>
  <c r="Y3" i="6" s="1"/>
  <c r="Z3" i="6" s="1"/>
  <c r="S3" i="6"/>
  <c r="T3" i="6" s="1"/>
  <c r="U3" i="6" s="1"/>
  <c r="N3" i="6"/>
  <c r="O3" i="6" s="1"/>
  <c r="P3" i="6" s="1"/>
  <c r="I3" i="6"/>
  <c r="J3" i="6" s="1"/>
  <c r="K3" i="6" s="1"/>
  <c r="D3" i="6"/>
  <c r="E3" i="6" s="1"/>
  <c r="F3" i="6" s="1"/>
  <c r="AO103" i="6" l="1"/>
  <c r="U103" i="6"/>
  <c r="P103" i="6"/>
  <c r="K103" i="6"/>
  <c r="AT103" i="6"/>
  <c r="Z103" i="6"/>
  <c r="AY103" i="6"/>
  <c r="F103" i="6"/>
  <c r="AE103" i="6"/>
  <c r="AW102" i="5"/>
  <c r="AX102" i="5" s="1"/>
  <c r="AY102" i="5" s="1"/>
  <c r="AT102" i="5"/>
  <c r="AS102" i="5"/>
  <c r="AR102" i="5"/>
  <c r="AN102" i="5"/>
  <c r="AO102" i="5" s="1"/>
  <c r="AM102" i="5"/>
  <c r="AH102" i="5"/>
  <c r="AI102" i="5" s="1"/>
  <c r="AJ102" i="5" s="1"/>
  <c r="AE102" i="5"/>
  <c r="AC102" i="5"/>
  <c r="AD102" i="5" s="1"/>
  <c r="Z102" i="5"/>
  <c r="Y102" i="5"/>
  <c r="X102" i="5"/>
  <c r="S102" i="5"/>
  <c r="T102" i="5" s="1"/>
  <c r="U102" i="5" s="1"/>
  <c r="O102" i="5"/>
  <c r="P102" i="5" s="1"/>
  <c r="N102" i="5"/>
  <c r="I102" i="5"/>
  <c r="J102" i="5" s="1"/>
  <c r="K102" i="5" s="1"/>
  <c r="E102" i="5"/>
  <c r="F102" i="5" s="1"/>
  <c r="D102" i="5"/>
  <c r="AX101" i="5"/>
  <c r="AY101" i="5" s="1"/>
  <c r="AW101" i="5"/>
  <c r="AR101" i="5"/>
  <c r="AS101" i="5" s="1"/>
  <c r="AT101" i="5" s="1"/>
  <c r="AM101" i="5"/>
  <c r="AN101" i="5" s="1"/>
  <c r="AO101" i="5" s="1"/>
  <c r="AJ101" i="5"/>
  <c r="AI101" i="5"/>
  <c r="AH101" i="5"/>
  <c r="AC101" i="5"/>
  <c r="AD101" i="5" s="1"/>
  <c r="AE101" i="5" s="1"/>
  <c r="X101" i="5"/>
  <c r="Y101" i="5" s="1"/>
  <c r="Z101" i="5" s="1"/>
  <c r="S101" i="5"/>
  <c r="T101" i="5" s="1"/>
  <c r="U101" i="5" s="1"/>
  <c r="O101" i="5"/>
  <c r="P101" i="5" s="1"/>
  <c r="N101" i="5"/>
  <c r="J101" i="5"/>
  <c r="K101" i="5" s="1"/>
  <c r="I101" i="5"/>
  <c r="D101" i="5"/>
  <c r="E101" i="5" s="1"/>
  <c r="F101" i="5" s="1"/>
  <c r="AW100" i="5"/>
  <c r="AX100" i="5" s="1"/>
  <c r="AY100" i="5" s="1"/>
  <c r="AT100" i="5"/>
  <c r="AS100" i="5"/>
  <c r="AR100" i="5"/>
  <c r="AN100" i="5"/>
  <c r="AO100" i="5" s="1"/>
  <c r="AM100" i="5"/>
  <c r="AH100" i="5"/>
  <c r="AI100" i="5" s="1"/>
  <c r="AJ100" i="5" s="1"/>
  <c r="AC100" i="5"/>
  <c r="AD100" i="5" s="1"/>
  <c r="AE100" i="5" s="1"/>
  <c r="Y100" i="5"/>
  <c r="Z100" i="5" s="1"/>
  <c r="X100" i="5"/>
  <c r="T100" i="5"/>
  <c r="U100" i="5" s="1"/>
  <c r="S100" i="5"/>
  <c r="N100" i="5"/>
  <c r="O100" i="5" s="1"/>
  <c r="P100" i="5" s="1"/>
  <c r="I100" i="5"/>
  <c r="J100" i="5" s="1"/>
  <c r="K100" i="5" s="1"/>
  <c r="F100" i="5"/>
  <c r="E100" i="5"/>
  <c r="D100" i="5"/>
  <c r="AW99" i="5"/>
  <c r="AX99" i="5" s="1"/>
  <c r="AY99" i="5" s="1"/>
  <c r="AR99" i="5"/>
  <c r="AS99" i="5" s="1"/>
  <c r="AT99" i="5" s="1"/>
  <c r="AM99" i="5"/>
  <c r="AN99" i="5" s="1"/>
  <c r="AO99" i="5" s="1"/>
  <c r="AJ99" i="5"/>
  <c r="AI99" i="5"/>
  <c r="AH99" i="5"/>
  <c r="AD99" i="5"/>
  <c r="AE99" i="5" s="1"/>
  <c r="AC99" i="5"/>
  <c r="Y99" i="5"/>
  <c r="Z99" i="5" s="1"/>
  <c r="X99" i="5"/>
  <c r="U99" i="5"/>
  <c r="S99" i="5"/>
  <c r="T99" i="5" s="1"/>
  <c r="P99" i="5"/>
  <c r="O99" i="5"/>
  <c r="N99" i="5"/>
  <c r="J99" i="5"/>
  <c r="K99" i="5" s="1"/>
  <c r="I99" i="5"/>
  <c r="D99" i="5"/>
  <c r="E99" i="5" s="1"/>
  <c r="F99" i="5" s="1"/>
  <c r="AW98" i="5"/>
  <c r="AX98" i="5" s="1"/>
  <c r="AY98" i="5" s="1"/>
  <c r="AS98" i="5"/>
  <c r="AT98" i="5" s="1"/>
  <c r="AR98" i="5"/>
  <c r="AO98" i="5"/>
  <c r="AN98" i="5"/>
  <c r="AM98" i="5"/>
  <c r="AI98" i="5"/>
  <c r="AJ98" i="5" s="1"/>
  <c r="AH98" i="5"/>
  <c r="AC98" i="5"/>
  <c r="AD98" i="5" s="1"/>
  <c r="AE98" i="5" s="1"/>
  <c r="Z98" i="5"/>
  <c r="Y98" i="5"/>
  <c r="X98" i="5"/>
  <c r="T98" i="5"/>
  <c r="U98" i="5" s="1"/>
  <c r="S98" i="5"/>
  <c r="N98" i="5"/>
  <c r="O98" i="5" s="1"/>
  <c r="P98" i="5" s="1"/>
  <c r="I98" i="5"/>
  <c r="J98" i="5" s="1"/>
  <c r="K98" i="5" s="1"/>
  <c r="F98" i="5"/>
  <c r="E98" i="5"/>
  <c r="D98" i="5"/>
  <c r="AY97" i="5"/>
  <c r="AX97" i="5"/>
  <c r="AW97" i="5"/>
  <c r="AS97" i="5"/>
  <c r="AT97" i="5" s="1"/>
  <c r="AR97" i="5"/>
  <c r="AO97" i="5"/>
  <c r="AM97" i="5"/>
  <c r="AN97" i="5" s="1"/>
  <c r="AJ97" i="5"/>
  <c r="AI97" i="5"/>
  <c r="AH97" i="5"/>
  <c r="AD97" i="5"/>
  <c r="AE97" i="5" s="1"/>
  <c r="AC97" i="5"/>
  <c r="Y97" i="5"/>
  <c r="Z97" i="5" s="1"/>
  <c r="X97" i="5"/>
  <c r="S97" i="5"/>
  <c r="T97" i="5" s="1"/>
  <c r="U97" i="5" s="1"/>
  <c r="P97" i="5"/>
  <c r="O97" i="5"/>
  <c r="N97" i="5"/>
  <c r="K97" i="5"/>
  <c r="J97" i="5"/>
  <c r="I97" i="5"/>
  <c r="D97" i="5"/>
  <c r="E97" i="5" s="1"/>
  <c r="F97" i="5" s="1"/>
  <c r="AY96" i="5"/>
  <c r="AW96" i="5"/>
  <c r="AX96" i="5" s="1"/>
  <c r="AT96" i="5"/>
  <c r="AS96" i="5"/>
  <c r="AR96" i="5"/>
  <c r="AM96" i="5"/>
  <c r="AN96" i="5" s="1"/>
  <c r="AO96" i="5" s="1"/>
  <c r="AI96" i="5"/>
  <c r="AJ96" i="5" s="1"/>
  <c r="AH96" i="5"/>
  <c r="AC96" i="5"/>
  <c r="AD96" i="5" s="1"/>
  <c r="AE96" i="5" s="1"/>
  <c r="Z96" i="5"/>
  <c r="Y96" i="5"/>
  <c r="X96" i="5"/>
  <c r="T96" i="5"/>
  <c r="U96" i="5" s="1"/>
  <c r="S96" i="5"/>
  <c r="N96" i="5"/>
  <c r="O96" i="5" s="1"/>
  <c r="P96" i="5" s="1"/>
  <c r="K96" i="5"/>
  <c r="I96" i="5"/>
  <c r="J96" i="5" s="1"/>
  <c r="F96" i="5"/>
  <c r="D96" i="5"/>
  <c r="E96" i="5" s="1"/>
  <c r="AX95" i="5"/>
  <c r="AY95" i="5" s="1"/>
  <c r="AW95" i="5"/>
  <c r="AR95" i="5"/>
  <c r="AS95" i="5" s="1"/>
  <c r="AT95" i="5" s="1"/>
  <c r="AM95" i="5"/>
  <c r="AN95" i="5" s="1"/>
  <c r="AO95" i="5" s="1"/>
  <c r="AJ95" i="5"/>
  <c r="AI95" i="5"/>
  <c r="AH95" i="5"/>
  <c r="AE95" i="5"/>
  <c r="AD95" i="5"/>
  <c r="AC95" i="5"/>
  <c r="Y95" i="5"/>
  <c r="Z95" i="5" s="1"/>
  <c r="X95" i="5"/>
  <c r="U95" i="5"/>
  <c r="S95" i="5"/>
  <c r="T95" i="5" s="1"/>
  <c r="N95" i="5"/>
  <c r="O95" i="5" s="1"/>
  <c r="P95" i="5" s="1"/>
  <c r="I95" i="5"/>
  <c r="J95" i="5" s="1"/>
  <c r="K95" i="5" s="1"/>
  <c r="D95" i="5"/>
  <c r="E95" i="5" s="1"/>
  <c r="F95" i="5" s="1"/>
  <c r="AW94" i="5"/>
  <c r="AX94" i="5" s="1"/>
  <c r="AY94" i="5" s="1"/>
  <c r="AS94" i="5"/>
  <c r="AT94" i="5" s="1"/>
  <c r="AR94" i="5"/>
  <c r="AN94" i="5"/>
  <c r="AO94" i="5" s="1"/>
  <c r="AM94" i="5"/>
  <c r="AI94" i="5"/>
  <c r="AJ94" i="5" s="1"/>
  <c r="AH94" i="5"/>
  <c r="AE94" i="5"/>
  <c r="AC94" i="5"/>
  <c r="AD94" i="5" s="1"/>
  <c r="X94" i="5"/>
  <c r="Y94" i="5" s="1"/>
  <c r="Z94" i="5" s="1"/>
  <c r="S94" i="5"/>
  <c r="T94" i="5" s="1"/>
  <c r="U94" i="5" s="1"/>
  <c r="N94" i="5"/>
  <c r="O94" i="5" s="1"/>
  <c r="P94" i="5" s="1"/>
  <c r="I94" i="5"/>
  <c r="J94" i="5" s="1"/>
  <c r="K94" i="5" s="1"/>
  <c r="E94" i="5"/>
  <c r="F94" i="5" s="1"/>
  <c r="D94" i="5"/>
  <c r="AX93" i="5"/>
  <c r="AY93" i="5" s="1"/>
  <c r="AW93" i="5"/>
  <c r="AS93" i="5"/>
  <c r="AT93" i="5" s="1"/>
  <c r="AR93" i="5"/>
  <c r="AM93" i="5"/>
  <c r="AN93" i="5" s="1"/>
  <c r="AO93" i="5" s="1"/>
  <c r="AJ93" i="5"/>
  <c r="AH93" i="5"/>
  <c r="AI93" i="5" s="1"/>
  <c r="AE93" i="5"/>
  <c r="AC93" i="5"/>
  <c r="AD93" i="5" s="1"/>
  <c r="Y93" i="5"/>
  <c r="Z93" i="5" s="1"/>
  <c r="X93" i="5"/>
  <c r="S93" i="5"/>
  <c r="T93" i="5" s="1"/>
  <c r="U93" i="5" s="1"/>
  <c r="P93" i="5"/>
  <c r="O93" i="5"/>
  <c r="N93" i="5"/>
  <c r="J93" i="5"/>
  <c r="K93" i="5" s="1"/>
  <c r="I93" i="5"/>
  <c r="D93" i="5"/>
  <c r="E93" i="5" s="1"/>
  <c r="F93" i="5" s="1"/>
  <c r="AY92" i="5"/>
  <c r="AW92" i="5"/>
  <c r="AX92" i="5" s="1"/>
  <c r="AT92" i="5"/>
  <c r="AR92" i="5"/>
  <c r="AS92" i="5" s="1"/>
  <c r="AN92" i="5"/>
  <c r="AO92" i="5" s="1"/>
  <c r="AM92" i="5"/>
  <c r="AH92" i="5"/>
  <c r="AI92" i="5" s="1"/>
  <c r="AJ92" i="5" s="1"/>
  <c r="AC92" i="5"/>
  <c r="AD92" i="5" s="1"/>
  <c r="AE92" i="5" s="1"/>
  <c r="Z92" i="5"/>
  <c r="Y92" i="5"/>
  <c r="X92" i="5"/>
  <c r="U92" i="5"/>
  <c r="T92" i="5"/>
  <c r="S92" i="5"/>
  <c r="O92" i="5"/>
  <c r="P92" i="5" s="1"/>
  <c r="N92" i="5"/>
  <c r="K92" i="5"/>
  <c r="I92" i="5"/>
  <c r="J92" i="5" s="1"/>
  <c r="D92" i="5"/>
  <c r="E92" i="5" s="1"/>
  <c r="F92" i="5" s="1"/>
  <c r="AW91" i="5"/>
  <c r="AX91" i="5" s="1"/>
  <c r="AY91" i="5" s="1"/>
  <c r="AR91" i="5"/>
  <c r="AS91" i="5" s="1"/>
  <c r="AT91" i="5" s="1"/>
  <c r="AM91" i="5"/>
  <c r="AN91" i="5" s="1"/>
  <c r="AO91" i="5" s="1"/>
  <c r="AJ91" i="5"/>
  <c r="AI91" i="5"/>
  <c r="AH91" i="5"/>
  <c r="AD91" i="5"/>
  <c r="AE91" i="5" s="1"/>
  <c r="AC91" i="5"/>
  <c r="Y91" i="5"/>
  <c r="Z91" i="5" s="1"/>
  <c r="X91" i="5"/>
  <c r="S91" i="5"/>
  <c r="T91" i="5" s="1"/>
  <c r="U91" i="5" s="1"/>
  <c r="N91" i="5"/>
  <c r="O91" i="5" s="1"/>
  <c r="P91" i="5" s="1"/>
  <c r="I91" i="5"/>
  <c r="J91" i="5" s="1"/>
  <c r="K91" i="5" s="1"/>
  <c r="E91" i="5"/>
  <c r="F91" i="5" s="1"/>
  <c r="D91" i="5"/>
  <c r="AW90" i="5"/>
  <c r="AX90" i="5" s="1"/>
  <c r="AY90" i="5" s="1"/>
  <c r="AS90" i="5"/>
  <c r="AT90" i="5" s="1"/>
  <c r="AR90" i="5"/>
  <c r="AN90" i="5"/>
  <c r="AO90" i="5" s="1"/>
  <c r="AM90" i="5"/>
  <c r="AH90" i="5"/>
  <c r="AI90" i="5" s="1"/>
  <c r="AJ90" i="5" s="1"/>
  <c r="AC90" i="5"/>
  <c r="AD90" i="5" s="1"/>
  <c r="AE90" i="5" s="1"/>
  <c r="Z90" i="5"/>
  <c r="X90" i="5"/>
  <c r="Y90" i="5" s="1"/>
  <c r="U90" i="5"/>
  <c r="S90" i="5"/>
  <c r="T90" i="5" s="1"/>
  <c r="O90" i="5"/>
  <c r="P90" i="5" s="1"/>
  <c r="N90" i="5"/>
  <c r="I90" i="5"/>
  <c r="J90" i="5" s="1"/>
  <c r="K90" i="5" s="1"/>
  <c r="F90" i="5"/>
  <c r="E90" i="5"/>
  <c r="D90" i="5"/>
  <c r="AX89" i="5"/>
  <c r="AY89" i="5" s="1"/>
  <c r="AW89" i="5"/>
  <c r="AR89" i="5"/>
  <c r="AS89" i="5" s="1"/>
  <c r="AT89" i="5" s="1"/>
  <c r="AO89" i="5"/>
  <c r="AM89" i="5"/>
  <c r="AN89" i="5" s="1"/>
  <c r="AH89" i="5"/>
  <c r="AI89" i="5" s="1"/>
  <c r="AJ89" i="5" s="1"/>
  <c r="AD89" i="5"/>
  <c r="AE89" i="5" s="1"/>
  <c r="AC89" i="5"/>
  <c r="X89" i="5"/>
  <c r="Y89" i="5" s="1"/>
  <c r="Z89" i="5" s="1"/>
  <c r="S89" i="5"/>
  <c r="T89" i="5" s="1"/>
  <c r="U89" i="5" s="1"/>
  <c r="P89" i="5"/>
  <c r="O89" i="5"/>
  <c r="N89" i="5"/>
  <c r="K89" i="5"/>
  <c r="J89" i="5"/>
  <c r="I89" i="5"/>
  <c r="E89" i="5"/>
  <c r="F89" i="5" s="1"/>
  <c r="D89" i="5"/>
  <c r="AY88" i="5"/>
  <c r="AW88" i="5"/>
  <c r="AX88" i="5" s="1"/>
  <c r="AT88" i="5"/>
  <c r="AR88" i="5"/>
  <c r="AS88" i="5" s="1"/>
  <c r="AM88" i="5"/>
  <c r="AN88" i="5" s="1"/>
  <c r="AO88" i="5" s="1"/>
  <c r="AH88" i="5"/>
  <c r="AI88" i="5" s="1"/>
  <c r="AJ88" i="5" s="1"/>
  <c r="AC88" i="5"/>
  <c r="AD88" i="5" s="1"/>
  <c r="AE88" i="5" s="1"/>
  <c r="Z88" i="5"/>
  <c r="Y88" i="5"/>
  <c r="X88" i="5"/>
  <c r="T88" i="5"/>
  <c r="U88" i="5" s="1"/>
  <c r="S88" i="5"/>
  <c r="N88" i="5"/>
  <c r="O88" i="5" s="1"/>
  <c r="P88" i="5" s="1"/>
  <c r="I88" i="5"/>
  <c r="J88" i="5" s="1"/>
  <c r="K88" i="5" s="1"/>
  <c r="D88" i="5"/>
  <c r="E88" i="5" s="1"/>
  <c r="F88" i="5" s="1"/>
  <c r="AW87" i="5"/>
  <c r="AX87" i="5" s="1"/>
  <c r="AY87" i="5" s="1"/>
  <c r="AR87" i="5"/>
  <c r="AS87" i="5" s="1"/>
  <c r="AT87" i="5" s="1"/>
  <c r="AM87" i="5"/>
  <c r="AN87" i="5" s="1"/>
  <c r="AO87" i="5" s="1"/>
  <c r="AI87" i="5"/>
  <c r="AJ87" i="5" s="1"/>
  <c r="AH87" i="5"/>
  <c r="AD87" i="5"/>
  <c r="AE87" i="5" s="1"/>
  <c r="AC87" i="5"/>
  <c r="Y87" i="5"/>
  <c r="Z87" i="5" s="1"/>
  <c r="X87" i="5"/>
  <c r="S87" i="5"/>
  <c r="T87" i="5" s="1"/>
  <c r="U87" i="5" s="1"/>
  <c r="P87" i="5"/>
  <c r="N87" i="5"/>
  <c r="O87" i="5" s="1"/>
  <c r="K87" i="5"/>
  <c r="J87" i="5"/>
  <c r="I87" i="5"/>
  <c r="E87" i="5"/>
  <c r="F87" i="5" s="1"/>
  <c r="D87" i="5"/>
  <c r="AW86" i="5"/>
  <c r="AX86" i="5" s="1"/>
  <c r="AY86" i="5" s="1"/>
  <c r="AT86" i="5"/>
  <c r="AS86" i="5"/>
  <c r="AR86" i="5"/>
  <c r="AO86" i="5"/>
  <c r="AN86" i="5"/>
  <c r="AM86" i="5"/>
  <c r="AH86" i="5"/>
  <c r="AI86" i="5" s="1"/>
  <c r="AJ86" i="5" s="1"/>
  <c r="AE86" i="5"/>
  <c r="AC86" i="5"/>
  <c r="AD86" i="5" s="1"/>
  <c r="X86" i="5"/>
  <c r="Y86" i="5" s="1"/>
  <c r="Z86" i="5" s="1"/>
  <c r="T86" i="5"/>
  <c r="U86" i="5" s="1"/>
  <c r="S86" i="5"/>
  <c r="N86" i="5"/>
  <c r="O86" i="5" s="1"/>
  <c r="P86" i="5" s="1"/>
  <c r="I86" i="5"/>
  <c r="J86" i="5" s="1"/>
  <c r="K86" i="5" s="1"/>
  <c r="F86" i="5"/>
  <c r="E86" i="5"/>
  <c r="D86" i="5"/>
  <c r="AY85" i="5"/>
  <c r="AX85" i="5"/>
  <c r="AW85" i="5"/>
  <c r="AS85" i="5"/>
  <c r="AT85" i="5" s="1"/>
  <c r="AR85" i="5"/>
  <c r="AO85" i="5"/>
  <c r="AM85" i="5"/>
  <c r="AN85" i="5" s="1"/>
  <c r="AJ85" i="5"/>
  <c r="AH85" i="5"/>
  <c r="AI85" i="5" s="1"/>
  <c r="AC85" i="5"/>
  <c r="AD85" i="5" s="1"/>
  <c r="AE85" i="5" s="1"/>
  <c r="X85" i="5"/>
  <c r="Y85" i="5" s="1"/>
  <c r="Z85" i="5" s="1"/>
  <c r="S85" i="5"/>
  <c r="T85" i="5" s="1"/>
  <c r="U85" i="5" s="1"/>
  <c r="O85" i="5"/>
  <c r="P85" i="5" s="1"/>
  <c r="N85" i="5"/>
  <c r="J85" i="5"/>
  <c r="K85" i="5" s="1"/>
  <c r="I85" i="5"/>
  <c r="D85" i="5"/>
  <c r="E85" i="5" s="1"/>
  <c r="F85" i="5" s="1"/>
  <c r="AW84" i="5"/>
  <c r="AX84" i="5" s="1"/>
  <c r="AY84" i="5" s="1"/>
  <c r="AR84" i="5"/>
  <c r="AS84" i="5" s="1"/>
  <c r="AT84" i="5" s="1"/>
  <c r="AM84" i="5"/>
  <c r="AN84" i="5" s="1"/>
  <c r="AO84" i="5" s="1"/>
  <c r="AH84" i="5"/>
  <c r="AI84" i="5" s="1"/>
  <c r="AJ84" i="5" s="1"/>
  <c r="AC84" i="5"/>
  <c r="AD84" i="5" s="1"/>
  <c r="AE84" i="5" s="1"/>
  <c r="Y84" i="5"/>
  <c r="Z84" i="5" s="1"/>
  <c r="X84" i="5"/>
  <c r="T84" i="5"/>
  <c r="U84" i="5" s="1"/>
  <c r="S84" i="5"/>
  <c r="O84" i="5"/>
  <c r="P84" i="5" s="1"/>
  <c r="N84" i="5"/>
  <c r="I84" i="5"/>
  <c r="J84" i="5" s="1"/>
  <c r="K84" i="5" s="1"/>
  <c r="F84" i="5"/>
  <c r="D84" i="5"/>
  <c r="E84" i="5" s="1"/>
  <c r="AW83" i="5"/>
  <c r="AX83" i="5" s="1"/>
  <c r="AY83" i="5" s="1"/>
  <c r="AS83" i="5"/>
  <c r="AT83" i="5" s="1"/>
  <c r="AR83" i="5"/>
  <c r="AM83" i="5"/>
  <c r="AN83" i="5" s="1"/>
  <c r="AO83" i="5" s="1"/>
  <c r="AJ83" i="5"/>
  <c r="AI83" i="5"/>
  <c r="AH83" i="5"/>
  <c r="AD83" i="5"/>
  <c r="AE83" i="5" s="1"/>
  <c r="AC83" i="5"/>
  <c r="X83" i="5"/>
  <c r="Y83" i="5" s="1"/>
  <c r="Z83" i="5" s="1"/>
  <c r="U83" i="5"/>
  <c r="S83" i="5"/>
  <c r="T83" i="5" s="1"/>
  <c r="N83" i="5"/>
  <c r="O83" i="5" s="1"/>
  <c r="P83" i="5" s="1"/>
  <c r="J83" i="5"/>
  <c r="K83" i="5" s="1"/>
  <c r="I83" i="5"/>
  <c r="D83" i="5"/>
  <c r="E83" i="5" s="1"/>
  <c r="F83" i="5" s="1"/>
  <c r="AW82" i="5"/>
  <c r="AX82" i="5" s="1"/>
  <c r="AY82" i="5" s="1"/>
  <c r="AT82" i="5"/>
  <c r="AS82" i="5"/>
  <c r="AR82" i="5"/>
  <c r="AO82" i="5"/>
  <c r="AN82" i="5"/>
  <c r="AM82" i="5"/>
  <c r="AI82" i="5"/>
  <c r="AJ82" i="5" s="1"/>
  <c r="AH82" i="5"/>
  <c r="AC82" i="5"/>
  <c r="AD82" i="5" s="1"/>
  <c r="AE82" i="5" s="1"/>
  <c r="Z82" i="5"/>
  <c r="X82" i="5"/>
  <c r="Y82" i="5" s="1"/>
  <c r="T82" i="5"/>
  <c r="U82" i="5" s="1"/>
  <c r="S82" i="5"/>
  <c r="O82" i="5"/>
  <c r="P82" i="5" s="1"/>
  <c r="N82" i="5"/>
  <c r="I82" i="5"/>
  <c r="J82" i="5" s="1"/>
  <c r="K82" i="5" s="1"/>
  <c r="D82" i="5"/>
  <c r="E82" i="5" s="1"/>
  <c r="F82" i="5" s="1"/>
  <c r="AX81" i="5"/>
  <c r="AY81" i="5" s="1"/>
  <c r="AW81" i="5"/>
  <c r="AR81" i="5"/>
  <c r="AS81" i="5" s="1"/>
  <c r="AT81" i="5" s="1"/>
  <c r="AM81" i="5"/>
  <c r="AN81" i="5" s="1"/>
  <c r="AO81" i="5" s="1"/>
  <c r="AH81" i="5"/>
  <c r="AI81" i="5" s="1"/>
  <c r="AJ81" i="5" s="1"/>
  <c r="AC81" i="5"/>
  <c r="AD81" i="5" s="1"/>
  <c r="AE81" i="5" s="1"/>
  <c r="X81" i="5"/>
  <c r="Y81" i="5" s="1"/>
  <c r="Z81" i="5" s="1"/>
  <c r="S81" i="5"/>
  <c r="T81" i="5" s="1"/>
  <c r="U81" i="5" s="1"/>
  <c r="O81" i="5"/>
  <c r="P81" i="5" s="1"/>
  <c r="N81" i="5"/>
  <c r="K81" i="5"/>
  <c r="J81" i="5"/>
  <c r="I81" i="5"/>
  <c r="E81" i="5"/>
  <c r="F81" i="5" s="1"/>
  <c r="D81" i="5"/>
  <c r="AX80" i="5"/>
  <c r="AY80" i="5" s="1"/>
  <c r="AW80" i="5"/>
  <c r="AT80" i="5"/>
  <c r="AR80" i="5"/>
  <c r="AS80" i="5" s="1"/>
  <c r="AN80" i="5"/>
  <c r="AO80" i="5" s="1"/>
  <c r="AM80" i="5"/>
  <c r="AH80" i="5"/>
  <c r="AI80" i="5" s="1"/>
  <c r="AJ80" i="5" s="1"/>
  <c r="AC80" i="5"/>
  <c r="AD80" i="5" s="1"/>
  <c r="AE80" i="5" s="1"/>
  <c r="X80" i="5"/>
  <c r="Y80" i="5" s="1"/>
  <c r="Z80" i="5" s="1"/>
  <c r="T80" i="5"/>
  <c r="U80" i="5" s="1"/>
  <c r="S80" i="5"/>
  <c r="O80" i="5"/>
  <c r="P80" i="5" s="1"/>
  <c r="N80" i="5"/>
  <c r="I80" i="5"/>
  <c r="J80" i="5" s="1"/>
  <c r="K80" i="5" s="1"/>
  <c r="D80" i="5"/>
  <c r="E80" i="5" s="1"/>
  <c r="F80" i="5" s="1"/>
  <c r="AW79" i="5"/>
  <c r="AX79" i="5" s="1"/>
  <c r="AY79" i="5" s="1"/>
  <c r="AR79" i="5"/>
  <c r="AS79" i="5" s="1"/>
  <c r="AT79" i="5" s="1"/>
  <c r="AM79" i="5"/>
  <c r="AN79" i="5" s="1"/>
  <c r="AO79" i="5" s="1"/>
  <c r="AH79" i="5"/>
  <c r="AI79" i="5" s="1"/>
  <c r="AJ79" i="5" s="1"/>
  <c r="AE79" i="5"/>
  <c r="AD79" i="5"/>
  <c r="AC79" i="5"/>
  <c r="Y79" i="5"/>
  <c r="Z79" i="5" s="1"/>
  <c r="X79" i="5"/>
  <c r="S79" i="5"/>
  <c r="T79" i="5" s="1"/>
  <c r="U79" i="5" s="1"/>
  <c r="P79" i="5"/>
  <c r="N79" i="5"/>
  <c r="O79" i="5" s="1"/>
  <c r="J79" i="5"/>
  <c r="K79" i="5" s="1"/>
  <c r="I79" i="5"/>
  <c r="D79" i="5"/>
  <c r="E79" i="5" s="1"/>
  <c r="F79" i="5" s="1"/>
  <c r="AW78" i="5"/>
  <c r="AX78" i="5" s="1"/>
  <c r="AY78" i="5" s="1"/>
  <c r="AR78" i="5"/>
  <c r="AS78" i="5" s="1"/>
  <c r="AT78" i="5" s="1"/>
  <c r="AN78" i="5"/>
  <c r="AO78" i="5" s="1"/>
  <c r="AM78" i="5"/>
  <c r="AI78" i="5"/>
  <c r="AJ78" i="5" s="1"/>
  <c r="AH78" i="5"/>
  <c r="AC78" i="5"/>
  <c r="AD78" i="5" s="1"/>
  <c r="AE78" i="5" s="1"/>
  <c r="X78" i="5"/>
  <c r="Y78" i="5" s="1"/>
  <c r="Z78" i="5" s="1"/>
  <c r="U78" i="5"/>
  <c r="S78" i="5"/>
  <c r="T78" i="5" s="1"/>
  <c r="N78" i="5"/>
  <c r="O78" i="5" s="1"/>
  <c r="P78" i="5" s="1"/>
  <c r="I78" i="5"/>
  <c r="J78" i="5" s="1"/>
  <c r="K78" i="5" s="1"/>
  <c r="F78" i="5"/>
  <c r="D78" i="5"/>
  <c r="E78" i="5" s="1"/>
  <c r="AY77" i="5"/>
  <c r="AX77" i="5"/>
  <c r="AW77" i="5"/>
  <c r="AS77" i="5"/>
  <c r="AT77" i="5" s="1"/>
  <c r="AR77" i="5"/>
  <c r="AO77" i="5"/>
  <c r="AM77" i="5"/>
  <c r="AN77" i="5" s="1"/>
  <c r="AJ77" i="5"/>
  <c r="AH77" i="5"/>
  <c r="AI77" i="5" s="1"/>
  <c r="AD77" i="5"/>
  <c r="AE77" i="5" s="1"/>
  <c r="AC77" i="5"/>
  <c r="Z77" i="5"/>
  <c r="Y77" i="5"/>
  <c r="X77" i="5"/>
  <c r="S77" i="5"/>
  <c r="T77" i="5" s="1"/>
  <c r="U77" i="5" s="1"/>
  <c r="N77" i="5"/>
  <c r="O77" i="5" s="1"/>
  <c r="P77" i="5" s="1"/>
  <c r="J77" i="5"/>
  <c r="K77" i="5" s="1"/>
  <c r="I77" i="5"/>
  <c r="E77" i="5"/>
  <c r="F77" i="5" s="1"/>
  <c r="D77" i="5"/>
  <c r="AW76" i="5"/>
  <c r="AX76" i="5" s="1"/>
  <c r="AY76" i="5" s="1"/>
  <c r="AR76" i="5"/>
  <c r="AS76" i="5" s="1"/>
  <c r="AT76" i="5" s="1"/>
  <c r="AN76" i="5"/>
  <c r="AO76" i="5" s="1"/>
  <c r="AM76" i="5"/>
  <c r="AH76" i="5"/>
  <c r="AI76" i="5" s="1"/>
  <c r="AJ76" i="5" s="1"/>
  <c r="AC76" i="5"/>
  <c r="AD76" i="5" s="1"/>
  <c r="AE76" i="5" s="1"/>
  <c r="Z76" i="5"/>
  <c r="Y76" i="5"/>
  <c r="X76" i="5"/>
  <c r="U76" i="5"/>
  <c r="T76" i="5"/>
  <c r="S76" i="5"/>
  <c r="O76" i="5"/>
  <c r="P76" i="5" s="1"/>
  <c r="N76" i="5"/>
  <c r="K76" i="5"/>
  <c r="J76" i="5"/>
  <c r="I76" i="5"/>
  <c r="F76" i="5"/>
  <c r="D76" i="5"/>
  <c r="E76" i="5" s="1"/>
  <c r="AX75" i="5"/>
  <c r="AY75" i="5" s="1"/>
  <c r="AW75" i="5"/>
  <c r="AT75" i="5"/>
  <c r="AS75" i="5"/>
  <c r="AR75" i="5"/>
  <c r="AM75" i="5"/>
  <c r="AN75" i="5" s="1"/>
  <c r="AO75" i="5" s="1"/>
  <c r="AH75" i="5"/>
  <c r="AI75" i="5" s="1"/>
  <c r="AJ75" i="5" s="1"/>
  <c r="AD75" i="5"/>
  <c r="AE75" i="5" s="1"/>
  <c r="AC75" i="5"/>
  <c r="X75" i="5"/>
  <c r="Y75" i="5" s="1"/>
  <c r="Z75" i="5" s="1"/>
  <c r="S75" i="5"/>
  <c r="T75" i="5" s="1"/>
  <c r="U75" i="5" s="1"/>
  <c r="N75" i="5"/>
  <c r="O75" i="5" s="1"/>
  <c r="P75" i="5" s="1"/>
  <c r="I75" i="5"/>
  <c r="J75" i="5" s="1"/>
  <c r="K75" i="5" s="1"/>
  <c r="D75" i="5"/>
  <c r="E75" i="5" s="1"/>
  <c r="F75" i="5" s="1"/>
  <c r="AW74" i="5"/>
  <c r="AX74" i="5" s="1"/>
  <c r="AY74" i="5" s="1"/>
  <c r="AT74" i="5"/>
  <c r="AS74" i="5"/>
  <c r="AR74" i="5"/>
  <c r="AO74" i="5"/>
  <c r="AN74" i="5"/>
  <c r="AM74" i="5"/>
  <c r="AI74" i="5"/>
  <c r="AJ74" i="5" s="1"/>
  <c r="AH74" i="5"/>
  <c r="AE74" i="5"/>
  <c r="AD74" i="5"/>
  <c r="AC74" i="5"/>
  <c r="Z74" i="5"/>
  <c r="X74" i="5"/>
  <c r="Y74" i="5" s="1"/>
  <c r="T74" i="5"/>
  <c r="U74" i="5" s="1"/>
  <c r="S74" i="5"/>
  <c r="O74" i="5"/>
  <c r="P74" i="5" s="1"/>
  <c r="N74" i="5"/>
  <c r="I74" i="5"/>
  <c r="J74" i="5" s="1"/>
  <c r="K74" i="5" s="1"/>
  <c r="D74" i="5"/>
  <c r="E74" i="5" s="1"/>
  <c r="F74" i="5" s="1"/>
  <c r="AX73" i="5"/>
  <c r="AY73" i="5" s="1"/>
  <c r="AW73" i="5"/>
  <c r="AR73" i="5"/>
  <c r="AS73" i="5" s="1"/>
  <c r="AT73" i="5" s="1"/>
  <c r="AM73" i="5"/>
  <c r="AN73" i="5" s="1"/>
  <c r="AO73" i="5" s="1"/>
  <c r="AH73" i="5"/>
  <c r="AI73" i="5" s="1"/>
  <c r="AJ73" i="5" s="1"/>
  <c r="AE73" i="5"/>
  <c r="AC73" i="5"/>
  <c r="AD73" i="5" s="1"/>
  <c r="X73" i="5"/>
  <c r="Y73" i="5" s="1"/>
  <c r="Z73" i="5" s="1"/>
  <c r="S73" i="5"/>
  <c r="T73" i="5" s="1"/>
  <c r="U73" i="5" s="1"/>
  <c r="O73" i="5"/>
  <c r="P73" i="5" s="1"/>
  <c r="N73" i="5"/>
  <c r="K73" i="5"/>
  <c r="J73" i="5"/>
  <c r="I73" i="5"/>
  <c r="E73" i="5"/>
  <c r="F73" i="5" s="1"/>
  <c r="D73" i="5"/>
  <c r="AX72" i="5"/>
  <c r="AY72" i="5" s="1"/>
  <c r="AW72" i="5"/>
  <c r="AT72" i="5"/>
  <c r="AR72" i="5"/>
  <c r="AS72" i="5" s="1"/>
  <c r="AN72" i="5"/>
  <c r="AO72" i="5" s="1"/>
  <c r="AM72" i="5"/>
  <c r="AH72" i="5"/>
  <c r="AI72" i="5" s="1"/>
  <c r="AJ72" i="5" s="1"/>
  <c r="AC72" i="5"/>
  <c r="AD72" i="5" s="1"/>
  <c r="AE72" i="5" s="1"/>
  <c r="X72" i="5"/>
  <c r="Y72" i="5" s="1"/>
  <c r="Z72" i="5" s="1"/>
  <c r="T72" i="5"/>
  <c r="U72" i="5" s="1"/>
  <c r="S72" i="5"/>
  <c r="O72" i="5"/>
  <c r="P72" i="5" s="1"/>
  <c r="N72" i="5"/>
  <c r="I72" i="5"/>
  <c r="J72" i="5" s="1"/>
  <c r="K72" i="5" s="1"/>
  <c r="D72" i="5"/>
  <c r="E72" i="5" s="1"/>
  <c r="F72" i="5" s="1"/>
  <c r="AX71" i="5"/>
  <c r="AY71" i="5" s="1"/>
  <c r="AW71" i="5"/>
  <c r="AR71" i="5"/>
  <c r="AS71" i="5" s="1"/>
  <c r="AT71" i="5" s="1"/>
  <c r="AM71" i="5"/>
  <c r="AN71" i="5" s="1"/>
  <c r="AO71" i="5" s="1"/>
  <c r="AH71" i="5"/>
  <c r="AI71" i="5" s="1"/>
  <c r="AJ71" i="5" s="1"/>
  <c r="AE71" i="5"/>
  <c r="AD71" i="5"/>
  <c r="AC71" i="5"/>
  <c r="Y71" i="5"/>
  <c r="Z71" i="5" s="1"/>
  <c r="X71" i="5"/>
  <c r="S71" i="5"/>
  <c r="T71" i="5" s="1"/>
  <c r="U71" i="5" s="1"/>
  <c r="P71" i="5"/>
  <c r="N71" i="5"/>
  <c r="O71" i="5" s="1"/>
  <c r="J71" i="5"/>
  <c r="K71" i="5" s="1"/>
  <c r="I71" i="5"/>
  <c r="D71" i="5"/>
  <c r="E71" i="5" s="1"/>
  <c r="F71" i="5" s="1"/>
  <c r="AW70" i="5"/>
  <c r="AX70" i="5" s="1"/>
  <c r="AY70" i="5" s="1"/>
  <c r="AR70" i="5"/>
  <c r="AS70" i="5" s="1"/>
  <c r="AT70" i="5" s="1"/>
  <c r="AN70" i="5"/>
  <c r="AO70" i="5" s="1"/>
  <c r="AM70" i="5"/>
  <c r="AH70" i="5"/>
  <c r="AI70" i="5" s="1"/>
  <c r="AJ70" i="5" s="1"/>
  <c r="AC70" i="5"/>
  <c r="AD70" i="5" s="1"/>
  <c r="AE70" i="5" s="1"/>
  <c r="X70" i="5"/>
  <c r="Y70" i="5" s="1"/>
  <c r="Z70" i="5" s="1"/>
  <c r="S70" i="5"/>
  <c r="T70" i="5" s="1"/>
  <c r="U70" i="5" s="1"/>
  <c r="N70" i="5"/>
  <c r="O70" i="5" s="1"/>
  <c r="P70" i="5" s="1"/>
  <c r="I70" i="5"/>
  <c r="J70" i="5" s="1"/>
  <c r="K70" i="5" s="1"/>
  <c r="D70" i="5"/>
  <c r="E70" i="5" s="1"/>
  <c r="F70" i="5" s="1"/>
  <c r="AY69" i="5"/>
  <c r="AX69" i="5"/>
  <c r="AW69" i="5"/>
  <c r="AS69" i="5"/>
  <c r="AT69" i="5" s="1"/>
  <c r="AR69" i="5"/>
  <c r="AM69" i="5"/>
  <c r="AN69" i="5" s="1"/>
  <c r="AO69" i="5" s="1"/>
  <c r="AJ69" i="5"/>
  <c r="AH69" i="5"/>
  <c r="AI69" i="5" s="1"/>
  <c r="AD69" i="5"/>
  <c r="AE69" i="5" s="1"/>
  <c r="AC69" i="5"/>
  <c r="Y69" i="5"/>
  <c r="Z69" i="5" s="1"/>
  <c r="X69" i="5"/>
  <c r="S69" i="5"/>
  <c r="T69" i="5" s="1"/>
  <c r="U69" i="5" s="1"/>
  <c r="N69" i="5"/>
  <c r="O69" i="5" s="1"/>
  <c r="P69" i="5" s="1"/>
  <c r="I69" i="5"/>
  <c r="J69" i="5" s="1"/>
  <c r="K69" i="5" s="1"/>
  <c r="D69" i="5"/>
  <c r="E69" i="5" s="1"/>
  <c r="F69" i="5" s="1"/>
  <c r="AW68" i="5"/>
  <c r="AX68" i="5" s="1"/>
  <c r="AY68" i="5" s="1"/>
  <c r="AT68" i="5"/>
  <c r="AS68" i="5"/>
  <c r="AR68" i="5"/>
  <c r="AN68" i="5"/>
  <c r="AO68" i="5" s="1"/>
  <c r="AM68" i="5"/>
  <c r="AH68" i="5"/>
  <c r="AI68" i="5" s="1"/>
  <c r="AJ68" i="5" s="1"/>
  <c r="AC68" i="5"/>
  <c r="AD68" i="5" s="1"/>
  <c r="AE68" i="5" s="1"/>
  <c r="X68" i="5"/>
  <c r="Y68" i="5" s="1"/>
  <c r="Z68" i="5" s="1"/>
  <c r="S68" i="5"/>
  <c r="T68" i="5" s="1"/>
  <c r="U68" i="5" s="1"/>
  <c r="N68" i="5"/>
  <c r="O68" i="5" s="1"/>
  <c r="P68" i="5" s="1"/>
  <c r="J68" i="5"/>
  <c r="K68" i="5" s="1"/>
  <c r="I68" i="5"/>
  <c r="E68" i="5"/>
  <c r="F68" i="5" s="1"/>
  <c r="D68" i="5"/>
  <c r="AX67" i="5"/>
  <c r="AY67" i="5" s="1"/>
  <c r="AW67" i="5"/>
  <c r="AR67" i="5"/>
  <c r="AS67" i="5" s="1"/>
  <c r="AT67" i="5" s="1"/>
  <c r="AM67" i="5"/>
  <c r="AN67" i="5" s="1"/>
  <c r="AO67" i="5" s="1"/>
  <c r="AJ67" i="5"/>
  <c r="AH67" i="5"/>
  <c r="AI67" i="5" s="1"/>
  <c r="AD67" i="5"/>
  <c r="AE67" i="5" s="1"/>
  <c r="AC67" i="5"/>
  <c r="X67" i="5"/>
  <c r="Y67" i="5" s="1"/>
  <c r="Z67" i="5" s="1"/>
  <c r="S67" i="5"/>
  <c r="T67" i="5" s="1"/>
  <c r="U67" i="5" s="1"/>
  <c r="P67" i="5"/>
  <c r="O67" i="5"/>
  <c r="N67" i="5"/>
  <c r="J67" i="5"/>
  <c r="K67" i="5" s="1"/>
  <c r="I67" i="5"/>
  <c r="D67" i="5"/>
  <c r="E67" i="5" s="1"/>
  <c r="F67" i="5" s="1"/>
  <c r="AY66" i="5"/>
  <c r="AW66" i="5"/>
  <c r="AX66" i="5" s="1"/>
  <c r="AR66" i="5"/>
  <c r="AS66" i="5" s="1"/>
  <c r="AT66" i="5" s="1"/>
  <c r="AO66" i="5"/>
  <c r="AN66" i="5"/>
  <c r="AM66" i="5"/>
  <c r="AH66" i="5"/>
  <c r="AI66" i="5" s="1"/>
  <c r="AJ66" i="5" s="1"/>
  <c r="AD66" i="5"/>
  <c r="AE66" i="5" s="1"/>
  <c r="AC66" i="5"/>
  <c r="Y66" i="5"/>
  <c r="Z66" i="5" s="1"/>
  <c r="X66" i="5"/>
  <c r="T66" i="5"/>
  <c r="U66" i="5" s="1"/>
  <c r="S66" i="5"/>
  <c r="O66" i="5"/>
  <c r="P66" i="5" s="1"/>
  <c r="N66" i="5"/>
  <c r="I66" i="5"/>
  <c r="J66" i="5" s="1"/>
  <c r="K66" i="5" s="1"/>
  <c r="F66" i="5"/>
  <c r="D66" i="5"/>
  <c r="E66" i="5" s="1"/>
  <c r="AW65" i="5"/>
  <c r="AX65" i="5" s="1"/>
  <c r="AY65" i="5" s="1"/>
  <c r="AR65" i="5"/>
  <c r="AS65" i="5" s="1"/>
  <c r="AT65" i="5" s="1"/>
  <c r="AM65" i="5"/>
  <c r="AN65" i="5" s="1"/>
  <c r="AO65" i="5" s="1"/>
  <c r="AJ65" i="5"/>
  <c r="AI65" i="5"/>
  <c r="AH65" i="5"/>
  <c r="AD65" i="5"/>
  <c r="AE65" i="5" s="1"/>
  <c r="AC65" i="5"/>
  <c r="X65" i="5"/>
  <c r="Y65" i="5" s="1"/>
  <c r="Z65" i="5" s="1"/>
  <c r="U65" i="5"/>
  <c r="S65" i="5"/>
  <c r="T65" i="5" s="1"/>
  <c r="N65" i="5"/>
  <c r="O65" i="5" s="1"/>
  <c r="P65" i="5" s="1"/>
  <c r="I65" i="5"/>
  <c r="J65" i="5" s="1"/>
  <c r="K65" i="5" s="1"/>
  <c r="D65" i="5"/>
  <c r="E65" i="5" s="1"/>
  <c r="F65" i="5" s="1"/>
  <c r="AX64" i="5"/>
  <c r="AY64" i="5" s="1"/>
  <c r="AW64" i="5"/>
  <c r="AS64" i="5"/>
  <c r="AT64" i="5" s="1"/>
  <c r="AR64" i="5"/>
  <c r="AN64" i="5"/>
  <c r="AO64" i="5" s="1"/>
  <c r="AM64" i="5"/>
  <c r="AI64" i="5"/>
  <c r="AJ64" i="5" s="1"/>
  <c r="AH64" i="5"/>
  <c r="AC64" i="5"/>
  <c r="AD64" i="5" s="1"/>
  <c r="AE64" i="5" s="1"/>
  <c r="Z64" i="5"/>
  <c r="X64" i="5"/>
  <c r="Y64" i="5" s="1"/>
  <c r="T64" i="5"/>
  <c r="U64" i="5" s="1"/>
  <c r="S64" i="5"/>
  <c r="N64" i="5"/>
  <c r="O64" i="5" s="1"/>
  <c r="P64" i="5" s="1"/>
  <c r="I64" i="5"/>
  <c r="J64" i="5" s="1"/>
  <c r="K64" i="5" s="1"/>
  <c r="F64" i="5"/>
  <c r="E64" i="5"/>
  <c r="D64" i="5"/>
  <c r="AX63" i="5"/>
  <c r="AY63" i="5" s="1"/>
  <c r="AW63" i="5"/>
  <c r="AR63" i="5"/>
  <c r="AS63" i="5" s="1"/>
  <c r="AT63" i="5" s="1"/>
  <c r="AO63" i="5"/>
  <c r="AM63" i="5"/>
  <c r="AN63" i="5" s="1"/>
  <c r="AH63" i="5"/>
  <c r="AI63" i="5" s="1"/>
  <c r="AJ63" i="5" s="1"/>
  <c r="AD63" i="5"/>
  <c r="AE63" i="5" s="1"/>
  <c r="AC63" i="5"/>
  <c r="X63" i="5"/>
  <c r="Y63" i="5" s="1"/>
  <c r="Z63" i="5" s="1"/>
  <c r="T63" i="5"/>
  <c r="U63" i="5" s="1"/>
  <c r="S63" i="5"/>
  <c r="O63" i="5"/>
  <c r="P63" i="5" s="1"/>
  <c r="N63" i="5"/>
  <c r="J63" i="5"/>
  <c r="K63" i="5" s="1"/>
  <c r="I63" i="5"/>
  <c r="E63" i="5"/>
  <c r="F63" i="5" s="1"/>
  <c r="D63" i="5"/>
  <c r="AW62" i="5"/>
  <c r="AX62" i="5" s="1"/>
  <c r="AY62" i="5" s="1"/>
  <c r="AR62" i="5"/>
  <c r="AS62" i="5" s="1"/>
  <c r="AT62" i="5" s="1"/>
  <c r="AM62" i="5"/>
  <c r="AN62" i="5" s="1"/>
  <c r="AO62" i="5" s="1"/>
  <c r="AH62" i="5"/>
  <c r="AI62" i="5" s="1"/>
  <c r="AJ62" i="5" s="1"/>
  <c r="AC62" i="5"/>
  <c r="AD62" i="5" s="1"/>
  <c r="AE62" i="5" s="1"/>
  <c r="Z62" i="5"/>
  <c r="Y62" i="5"/>
  <c r="X62" i="5"/>
  <c r="T62" i="5"/>
  <c r="U62" i="5" s="1"/>
  <c r="S62" i="5"/>
  <c r="N62" i="5"/>
  <c r="O62" i="5" s="1"/>
  <c r="P62" i="5" s="1"/>
  <c r="I62" i="5"/>
  <c r="J62" i="5" s="1"/>
  <c r="K62" i="5" s="1"/>
  <c r="D62" i="5"/>
  <c r="E62" i="5" s="1"/>
  <c r="F62" i="5" s="1"/>
  <c r="AW61" i="5"/>
  <c r="AX61" i="5" s="1"/>
  <c r="AY61" i="5" s="1"/>
  <c r="AR61" i="5"/>
  <c r="AS61" i="5" s="1"/>
  <c r="AT61" i="5" s="1"/>
  <c r="AN61" i="5"/>
  <c r="AO61" i="5" s="1"/>
  <c r="AM61" i="5"/>
  <c r="AI61" i="5"/>
  <c r="AJ61" i="5" s="1"/>
  <c r="AH61" i="5"/>
  <c r="AD61" i="5"/>
  <c r="AE61" i="5" s="1"/>
  <c r="AC61" i="5"/>
  <c r="X61" i="5"/>
  <c r="Y61" i="5" s="1"/>
  <c r="Z61" i="5" s="1"/>
  <c r="S61" i="5"/>
  <c r="T61" i="5" s="1"/>
  <c r="U61" i="5" s="1"/>
  <c r="P61" i="5"/>
  <c r="N61" i="5"/>
  <c r="O61" i="5" s="1"/>
  <c r="J61" i="5"/>
  <c r="K61" i="5" s="1"/>
  <c r="I61" i="5"/>
  <c r="D61" i="5"/>
  <c r="E61" i="5" s="1"/>
  <c r="F61" i="5" s="1"/>
  <c r="AW60" i="5"/>
  <c r="AX60" i="5" s="1"/>
  <c r="AY60" i="5" s="1"/>
  <c r="AT60" i="5"/>
  <c r="AS60" i="5"/>
  <c r="AR60" i="5"/>
  <c r="AN60" i="5"/>
  <c r="AO60" i="5" s="1"/>
  <c r="AM60" i="5"/>
  <c r="AH60" i="5"/>
  <c r="AI60" i="5" s="1"/>
  <c r="AJ60" i="5" s="1"/>
  <c r="AE60" i="5"/>
  <c r="AC60" i="5"/>
  <c r="AD60" i="5" s="1"/>
  <c r="X60" i="5"/>
  <c r="Y60" i="5" s="1"/>
  <c r="Z60" i="5" s="1"/>
  <c r="U60" i="5"/>
  <c r="T60" i="5"/>
  <c r="S60" i="5"/>
  <c r="N60" i="5"/>
  <c r="O60" i="5" s="1"/>
  <c r="P60" i="5" s="1"/>
  <c r="J60" i="5"/>
  <c r="K60" i="5" s="1"/>
  <c r="I60" i="5"/>
  <c r="E60" i="5"/>
  <c r="F60" i="5" s="1"/>
  <c r="D60" i="5"/>
  <c r="AX59" i="5"/>
  <c r="AY59" i="5" s="1"/>
  <c r="AW59" i="5"/>
  <c r="AS59" i="5"/>
  <c r="AT59" i="5" s="1"/>
  <c r="AR59" i="5"/>
  <c r="AM59" i="5"/>
  <c r="AN59" i="5" s="1"/>
  <c r="AO59" i="5" s="1"/>
  <c r="AJ59" i="5"/>
  <c r="AH59" i="5"/>
  <c r="AI59" i="5" s="1"/>
  <c r="AC59" i="5"/>
  <c r="AD59" i="5" s="1"/>
  <c r="AE59" i="5" s="1"/>
  <c r="X59" i="5"/>
  <c r="Y59" i="5" s="1"/>
  <c r="Z59" i="5" s="1"/>
  <c r="S59" i="5"/>
  <c r="T59" i="5" s="1"/>
  <c r="U59" i="5" s="1"/>
  <c r="P59" i="5"/>
  <c r="O59" i="5"/>
  <c r="N59" i="5"/>
  <c r="J59" i="5"/>
  <c r="K59" i="5" s="1"/>
  <c r="I59" i="5"/>
  <c r="D59" i="5"/>
  <c r="E59" i="5" s="1"/>
  <c r="F59" i="5" s="1"/>
  <c r="AY58" i="5"/>
  <c r="AW58" i="5"/>
  <c r="AX58" i="5" s="1"/>
  <c r="AR58" i="5"/>
  <c r="AS58" i="5" s="1"/>
  <c r="AT58" i="5" s="1"/>
  <c r="AM58" i="5"/>
  <c r="AN58" i="5" s="1"/>
  <c r="AO58" i="5" s="1"/>
  <c r="AH58" i="5"/>
  <c r="AI58" i="5" s="1"/>
  <c r="AJ58" i="5" s="1"/>
  <c r="AD58" i="5"/>
  <c r="AE58" i="5" s="1"/>
  <c r="AC58" i="5"/>
  <c r="Y58" i="5"/>
  <c r="Z58" i="5" s="1"/>
  <c r="X58" i="5"/>
  <c r="T58" i="5"/>
  <c r="U58" i="5" s="1"/>
  <c r="S58" i="5"/>
  <c r="O58" i="5"/>
  <c r="P58" i="5" s="1"/>
  <c r="N58" i="5"/>
  <c r="I58" i="5"/>
  <c r="J58" i="5" s="1"/>
  <c r="K58" i="5" s="1"/>
  <c r="F58" i="5"/>
  <c r="D58" i="5"/>
  <c r="E58" i="5" s="1"/>
  <c r="AX57" i="5"/>
  <c r="AY57" i="5" s="1"/>
  <c r="AW57" i="5"/>
  <c r="AR57" i="5"/>
  <c r="AS57" i="5" s="1"/>
  <c r="AT57" i="5" s="1"/>
  <c r="AM57" i="5"/>
  <c r="AN57" i="5" s="1"/>
  <c r="AO57" i="5" s="1"/>
  <c r="AJ57" i="5"/>
  <c r="AI57" i="5"/>
  <c r="AH57" i="5"/>
  <c r="AD57" i="5"/>
  <c r="AE57" i="5" s="1"/>
  <c r="AC57" i="5"/>
  <c r="X57" i="5"/>
  <c r="Y57" i="5" s="1"/>
  <c r="Z57" i="5" s="1"/>
  <c r="U57" i="5"/>
  <c r="S57" i="5"/>
  <c r="T57" i="5" s="1"/>
  <c r="N57" i="5"/>
  <c r="O57" i="5" s="1"/>
  <c r="P57" i="5" s="1"/>
  <c r="J57" i="5"/>
  <c r="K57" i="5" s="1"/>
  <c r="I57" i="5"/>
  <c r="D57" i="5"/>
  <c r="E57" i="5" s="1"/>
  <c r="F57" i="5" s="1"/>
  <c r="AX56" i="5"/>
  <c r="AY56" i="5" s="1"/>
  <c r="AW56" i="5"/>
  <c r="AS56" i="5"/>
  <c r="AT56" i="5" s="1"/>
  <c r="AR56" i="5"/>
  <c r="AN56" i="5"/>
  <c r="AO56" i="5" s="1"/>
  <c r="AM56" i="5"/>
  <c r="AI56" i="5"/>
  <c r="AJ56" i="5" s="1"/>
  <c r="AH56" i="5"/>
  <c r="AC56" i="5"/>
  <c r="AD56" i="5" s="1"/>
  <c r="AE56" i="5" s="1"/>
  <c r="X56" i="5"/>
  <c r="Y56" i="5" s="1"/>
  <c r="Z56" i="5" s="1"/>
  <c r="S56" i="5"/>
  <c r="T56" i="5" s="1"/>
  <c r="U56" i="5" s="1"/>
  <c r="N56" i="5"/>
  <c r="O56" i="5" s="1"/>
  <c r="P56" i="5" s="1"/>
  <c r="I56" i="5"/>
  <c r="J56" i="5" s="1"/>
  <c r="K56" i="5" s="1"/>
  <c r="F56" i="5"/>
  <c r="E56" i="5"/>
  <c r="D56" i="5"/>
  <c r="AY55" i="5"/>
  <c r="AX55" i="5"/>
  <c r="AW55" i="5"/>
  <c r="AS55" i="5"/>
  <c r="AT55" i="5" s="1"/>
  <c r="AR55" i="5"/>
  <c r="AM55" i="5"/>
  <c r="AN55" i="5" s="1"/>
  <c r="AO55" i="5" s="1"/>
  <c r="AJ55" i="5"/>
  <c r="AH55" i="5"/>
  <c r="AI55" i="5" s="1"/>
  <c r="AC55" i="5"/>
  <c r="AD55" i="5" s="1"/>
  <c r="AE55" i="5" s="1"/>
  <c r="Y55" i="5"/>
  <c r="Z55" i="5" s="1"/>
  <c r="X55" i="5"/>
  <c r="S55" i="5"/>
  <c r="T55" i="5" s="1"/>
  <c r="U55" i="5" s="1"/>
  <c r="O55" i="5"/>
  <c r="P55" i="5" s="1"/>
  <c r="N55" i="5"/>
  <c r="K55" i="5"/>
  <c r="J55" i="5"/>
  <c r="I55" i="5"/>
  <c r="E55" i="5"/>
  <c r="F55" i="5" s="1"/>
  <c r="D55" i="5"/>
  <c r="AW54" i="5"/>
  <c r="AX54" i="5" s="1"/>
  <c r="AY54" i="5" s="1"/>
  <c r="AT54" i="5"/>
  <c r="AR54" i="5"/>
  <c r="AS54" i="5" s="1"/>
  <c r="AM54" i="5"/>
  <c r="AN54" i="5" s="1"/>
  <c r="AO54" i="5" s="1"/>
  <c r="AH54" i="5"/>
  <c r="AI54" i="5" s="1"/>
  <c r="AJ54" i="5" s="1"/>
  <c r="AD54" i="5"/>
  <c r="AE54" i="5" s="1"/>
  <c r="AC54" i="5"/>
  <c r="Z54" i="5"/>
  <c r="Y54" i="5"/>
  <c r="X54" i="5"/>
  <c r="U54" i="5"/>
  <c r="T54" i="5"/>
  <c r="S54" i="5"/>
  <c r="N54" i="5"/>
  <c r="O54" i="5" s="1"/>
  <c r="P54" i="5" s="1"/>
  <c r="I54" i="5"/>
  <c r="J54" i="5" s="1"/>
  <c r="K54" i="5" s="1"/>
  <c r="F54" i="5"/>
  <c r="D54" i="5"/>
  <c r="E54" i="5" s="1"/>
  <c r="AX53" i="5"/>
  <c r="AY53" i="5" s="1"/>
  <c r="AW53" i="5"/>
  <c r="AS53" i="5"/>
  <c r="AT53" i="5" s="1"/>
  <c r="AR53" i="5"/>
  <c r="AM53" i="5"/>
  <c r="AN53" i="5" s="1"/>
  <c r="AO53" i="5" s="1"/>
  <c r="AI53" i="5"/>
  <c r="AJ53" i="5" s="1"/>
  <c r="AH53" i="5"/>
  <c r="AD53" i="5"/>
  <c r="AE53" i="5" s="1"/>
  <c r="AC53" i="5"/>
  <c r="Y53" i="5"/>
  <c r="Z53" i="5" s="1"/>
  <c r="X53" i="5"/>
  <c r="S53" i="5"/>
  <c r="T53" i="5" s="1"/>
  <c r="U53" i="5" s="1"/>
  <c r="N53" i="5"/>
  <c r="O53" i="5" s="1"/>
  <c r="P53" i="5" s="1"/>
  <c r="I53" i="5"/>
  <c r="J53" i="5" s="1"/>
  <c r="K53" i="5" s="1"/>
  <c r="D53" i="5"/>
  <c r="E53" i="5" s="1"/>
  <c r="F53" i="5" s="1"/>
  <c r="AW52" i="5"/>
  <c r="AX52" i="5" s="1"/>
  <c r="AY52" i="5" s="1"/>
  <c r="AT52" i="5"/>
  <c r="AS52" i="5"/>
  <c r="AR52" i="5"/>
  <c r="AM52" i="5"/>
  <c r="AN52" i="5" s="1"/>
  <c r="AO52" i="5" s="1"/>
  <c r="AJ52" i="5"/>
  <c r="AH52" i="5"/>
  <c r="AI52" i="5" s="1"/>
  <c r="AC52" i="5"/>
  <c r="AD52" i="5" s="1"/>
  <c r="AE52" i="5" s="1"/>
  <c r="X52" i="5"/>
  <c r="Y52" i="5" s="1"/>
  <c r="Z52" i="5" s="1"/>
  <c r="T52" i="5"/>
  <c r="U52" i="5" s="1"/>
  <c r="S52" i="5"/>
  <c r="O52" i="5"/>
  <c r="P52" i="5" s="1"/>
  <c r="N52" i="5"/>
  <c r="J52" i="5"/>
  <c r="K52" i="5" s="1"/>
  <c r="I52" i="5"/>
  <c r="F52" i="5"/>
  <c r="D52" i="5"/>
  <c r="E52" i="5" s="1"/>
  <c r="AY51" i="5"/>
  <c r="AW51" i="5"/>
  <c r="AX51" i="5" s="1"/>
  <c r="AR51" i="5"/>
  <c r="AS51" i="5" s="1"/>
  <c r="AT51" i="5" s="1"/>
  <c r="AM51" i="5"/>
  <c r="AN51" i="5" s="1"/>
  <c r="AO51" i="5" s="1"/>
  <c r="AH51" i="5"/>
  <c r="AI51" i="5" s="1"/>
  <c r="AJ51" i="5" s="1"/>
  <c r="AD51" i="5"/>
  <c r="AE51" i="5" s="1"/>
  <c r="AC51" i="5"/>
  <c r="Y51" i="5"/>
  <c r="Z51" i="5" s="1"/>
  <c r="X51" i="5"/>
  <c r="S51" i="5"/>
  <c r="T51" i="5" s="1"/>
  <c r="U51" i="5" s="1"/>
  <c r="P51" i="5"/>
  <c r="O51" i="5"/>
  <c r="N51" i="5"/>
  <c r="K51" i="5"/>
  <c r="I51" i="5"/>
  <c r="J51" i="5" s="1"/>
  <c r="D51" i="5"/>
  <c r="E51" i="5" s="1"/>
  <c r="F51" i="5" s="1"/>
  <c r="AW50" i="5"/>
  <c r="AX50" i="5" s="1"/>
  <c r="AY50" i="5" s="1"/>
  <c r="AR50" i="5"/>
  <c r="AS50" i="5" s="1"/>
  <c r="AT50" i="5" s="1"/>
  <c r="AN50" i="5"/>
  <c r="AO50" i="5" s="1"/>
  <c r="AM50" i="5"/>
  <c r="AI50" i="5"/>
  <c r="AJ50" i="5" s="1"/>
  <c r="AH50" i="5"/>
  <c r="AC50" i="5"/>
  <c r="AD50" i="5" s="1"/>
  <c r="AE50" i="5" s="1"/>
  <c r="X50" i="5"/>
  <c r="Y50" i="5" s="1"/>
  <c r="Z50" i="5" s="1"/>
  <c r="S50" i="5"/>
  <c r="T50" i="5" s="1"/>
  <c r="U50" i="5" s="1"/>
  <c r="O50" i="5"/>
  <c r="P50" i="5" s="1"/>
  <c r="N50" i="5"/>
  <c r="I50" i="5"/>
  <c r="J50" i="5" s="1"/>
  <c r="K50" i="5" s="1"/>
  <c r="D50" i="5"/>
  <c r="E50" i="5" s="1"/>
  <c r="F50" i="5" s="1"/>
  <c r="AY49" i="5"/>
  <c r="AX49" i="5"/>
  <c r="AW49" i="5"/>
  <c r="AS49" i="5"/>
  <c r="AT49" i="5" s="1"/>
  <c r="AR49" i="5"/>
  <c r="AN49" i="5"/>
  <c r="AO49" i="5" s="1"/>
  <c r="AM49" i="5"/>
  <c r="AH49" i="5"/>
  <c r="AI49" i="5" s="1"/>
  <c r="AJ49" i="5" s="1"/>
  <c r="AE49" i="5"/>
  <c r="AC49" i="5"/>
  <c r="AD49" i="5" s="1"/>
  <c r="X49" i="5"/>
  <c r="Y49" i="5" s="1"/>
  <c r="Z49" i="5" s="1"/>
  <c r="S49" i="5"/>
  <c r="T49" i="5" s="1"/>
  <c r="U49" i="5" s="1"/>
  <c r="N49" i="5"/>
  <c r="O49" i="5" s="1"/>
  <c r="P49" i="5" s="1"/>
  <c r="J49" i="5"/>
  <c r="K49" i="5" s="1"/>
  <c r="I49" i="5"/>
  <c r="E49" i="5"/>
  <c r="F49" i="5" s="1"/>
  <c r="D49" i="5"/>
  <c r="AW48" i="5"/>
  <c r="AX48" i="5" s="1"/>
  <c r="AY48" i="5" s="1"/>
  <c r="AR48" i="5"/>
  <c r="AS48" i="5" s="1"/>
  <c r="AT48" i="5" s="1"/>
  <c r="AM48" i="5"/>
  <c r="AN48" i="5" s="1"/>
  <c r="AO48" i="5" s="1"/>
  <c r="AI48" i="5"/>
  <c r="AJ48" i="5" s="1"/>
  <c r="AH48" i="5"/>
  <c r="AC48" i="5"/>
  <c r="AD48" i="5" s="1"/>
  <c r="AE48" i="5" s="1"/>
  <c r="X48" i="5"/>
  <c r="Y48" i="5" s="1"/>
  <c r="Z48" i="5" s="1"/>
  <c r="U48" i="5"/>
  <c r="T48" i="5"/>
  <c r="S48" i="5"/>
  <c r="O48" i="5"/>
  <c r="P48" i="5" s="1"/>
  <c r="N48" i="5"/>
  <c r="J48" i="5"/>
  <c r="K48" i="5" s="1"/>
  <c r="I48" i="5"/>
  <c r="D48" i="5"/>
  <c r="E48" i="5" s="1"/>
  <c r="F48" i="5" s="1"/>
  <c r="AY47" i="5"/>
  <c r="AW47" i="5"/>
  <c r="AX47" i="5" s="1"/>
  <c r="AR47" i="5"/>
  <c r="AS47" i="5" s="1"/>
  <c r="AT47" i="5" s="1"/>
  <c r="AM47" i="5"/>
  <c r="AN47" i="5" s="1"/>
  <c r="AO47" i="5" s="1"/>
  <c r="AH47" i="5"/>
  <c r="AI47" i="5" s="1"/>
  <c r="AJ47" i="5" s="1"/>
  <c r="AD47" i="5"/>
  <c r="AE47" i="5" s="1"/>
  <c r="AC47" i="5"/>
  <c r="Y47" i="5"/>
  <c r="Z47" i="5" s="1"/>
  <c r="X47" i="5"/>
  <c r="S47" i="5"/>
  <c r="T47" i="5" s="1"/>
  <c r="U47" i="5" s="1"/>
  <c r="N47" i="5"/>
  <c r="O47" i="5" s="1"/>
  <c r="P47" i="5" s="1"/>
  <c r="I47" i="5"/>
  <c r="J47" i="5" s="1"/>
  <c r="K47" i="5" s="1"/>
  <c r="E47" i="5"/>
  <c r="F47" i="5" s="1"/>
  <c r="D47" i="5"/>
  <c r="AW46" i="5"/>
  <c r="AX46" i="5" s="1"/>
  <c r="AY46" i="5" s="1"/>
  <c r="AR46" i="5"/>
  <c r="AS46" i="5" s="1"/>
  <c r="AT46" i="5" s="1"/>
  <c r="AO46" i="5"/>
  <c r="AN46" i="5"/>
  <c r="AM46" i="5"/>
  <c r="AI46" i="5"/>
  <c r="AJ46" i="5" s="1"/>
  <c r="AH46" i="5"/>
  <c r="AD46" i="5"/>
  <c r="AE46" i="5" s="1"/>
  <c r="AC46" i="5"/>
  <c r="X46" i="5"/>
  <c r="Y46" i="5" s="1"/>
  <c r="Z46" i="5" s="1"/>
  <c r="U46" i="5"/>
  <c r="S46" i="5"/>
  <c r="T46" i="5" s="1"/>
  <c r="N46" i="5"/>
  <c r="O46" i="5" s="1"/>
  <c r="P46" i="5" s="1"/>
  <c r="I46" i="5"/>
  <c r="J46" i="5" s="1"/>
  <c r="K46" i="5" s="1"/>
  <c r="D46" i="5"/>
  <c r="E46" i="5" s="1"/>
  <c r="F46" i="5" s="1"/>
  <c r="AX45" i="5"/>
  <c r="AY45" i="5" s="1"/>
  <c r="AW45" i="5"/>
  <c r="AS45" i="5"/>
  <c r="AT45" i="5" s="1"/>
  <c r="AR45" i="5"/>
  <c r="AM45" i="5"/>
  <c r="AN45" i="5" s="1"/>
  <c r="AO45" i="5" s="1"/>
  <c r="AH45" i="5"/>
  <c r="AI45" i="5" s="1"/>
  <c r="AJ45" i="5" s="1"/>
  <c r="AC45" i="5"/>
  <c r="AD45" i="5" s="1"/>
  <c r="AE45" i="5" s="1"/>
  <c r="Y45" i="5"/>
  <c r="Z45" i="5" s="1"/>
  <c r="X45" i="5"/>
  <c r="S45" i="5"/>
  <c r="T45" i="5" s="1"/>
  <c r="U45" i="5" s="1"/>
  <c r="N45" i="5"/>
  <c r="O45" i="5" s="1"/>
  <c r="P45" i="5" s="1"/>
  <c r="K45" i="5"/>
  <c r="J45" i="5"/>
  <c r="I45" i="5"/>
  <c r="E45" i="5"/>
  <c r="F45" i="5" s="1"/>
  <c r="D45" i="5"/>
  <c r="AX44" i="5"/>
  <c r="AY44" i="5" s="1"/>
  <c r="AW44" i="5"/>
  <c r="AR44" i="5"/>
  <c r="AS44" i="5" s="1"/>
  <c r="AT44" i="5" s="1"/>
  <c r="AO44" i="5"/>
  <c r="AM44" i="5"/>
  <c r="AN44" i="5" s="1"/>
  <c r="AH44" i="5"/>
  <c r="AI44" i="5" s="1"/>
  <c r="AJ44" i="5" s="1"/>
  <c r="AC44" i="5"/>
  <c r="AD44" i="5" s="1"/>
  <c r="AE44" i="5" s="1"/>
  <c r="X44" i="5"/>
  <c r="Y44" i="5" s="1"/>
  <c r="Z44" i="5" s="1"/>
  <c r="T44" i="5"/>
  <c r="U44" i="5" s="1"/>
  <c r="S44" i="5"/>
  <c r="O44" i="5"/>
  <c r="P44" i="5" s="1"/>
  <c r="N44" i="5"/>
  <c r="I44" i="5"/>
  <c r="J44" i="5" s="1"/>
  <c r="K44" i="5" s="1"/>
  <c r="D44" i="5"/>
  <c r="E44" i="5" s="1"/>
  <c r="F44" i="5" s="1"/>
  <c r="AW43" i="5"/>
  <c r="AX43" i="5" s="1"/>
  <c r="AY43" i="5" s="1"/>
  <c r="AS43" i="5"/>
  <c r="AT43" i="5" s="1"/>
  <c r="AR43" i="5"/>
  <c r="AM43" i="5"/>
  <c r="AN43" i="5" s="1"/>
  <c r="AO43" i="5" s="1"/>
  <c r="AH43" i="5"/>
  <c r="AI43" i="5" s="1"/>
  <c r="AJ43" i="5" s="1"/>
  <c r="AE43" i="5"/>
  <c r="AD43" i="5"/>
  <c r="AC43" i="5"/>
  <c r="Y43" i="5"/>
  <c r="Z43" i="5" s="1"/>
  <c r="X43" i="5"/>
  <c r="T43" i="5"/>
  <c r="U43" i="5" s="1"/>
  <c r="S43" i="5"/>
  <c r="N43" i="5"/>
  <c r="O43" i="5" s="1"/>
  <c r="P43" i="5" s="1"/>
  <c r="K43" i="5"/>
  <c r="I43" i="5"/>
  <c r="J43" i="5" s="1"/>
  <c r="D43" i="5"/>
  <c r="E43" i="5" s="1"/>
  <c r="F43" i="5" s="1"/>
  <c r="AW42" i="5"/>
  <c r="AX42" i="5" s="1"/>
  <c r="AY42" i="5" s="1"/>
  <c r="AR42" i="5"/>
  <c r="AS42" i="5" s="1"/>
  <c r="AT42" i="5" s="1"/>
  <c r="AN42" i="5"/>
  <c r="AO42" i="5" s="1"/>
  <c r="AM42" i="5"/>
  <c r="AI42" i="5"/>
  <c r="AJ42" i="5" s="1"/>
  <c r="AH42" i="5"/>
  <c r="AC42" i="5"/>
  <c r="AD42" i="5" s="1"/>
  <c r="AE42" i="5" s="1"/>
  <c r="X42" i="5"/>
  <c r="Y42" i="5" s="1"/>
  <c r="Z42" i="5" s="1"/>
  <c r="S42" i="5"/>
  <c r="T42" i="5" s="1"/>
  <c r="U42" i="5" s="1"/>
  <c r="O42" i="5"/>
  <c r="P42" i="5" s="1"/>
  <c r="N42" i="5"/>
  <c r="I42" i="5"/>
  <c r="J42" i="5" s="1"/>
  <c r="K42" i="5" s="1"/>
  <c r="D42" i="5"/>
  <c r="E42" i="5" s="1"/>
  <c r="F42" i="5" s="1"/>
  <c r="AY41" i="5"/>
  <c r="AX41" i="5"/>
  <c r="AW41" i="5"/>
  <c r="AS41" i="5"/>
  <c r="AT41" i="5" s="1"/>
  <c r="AR41" i="5"/>
  <c r="AN41" i="5"/>
  <c r="AO41" i="5" s="1"/>
  <c r="AM41" i="5"/>
  <c r="AH41" i="5"/>
  <c r="AI41" i="5" s="1"/>
  <c r="AJ41" i="5" s="1"/>
  <c r="AE41" i="5"/>
  <c r="AC41" i="5"/>
  <c r="AD41" i="5" s="1"/>
  <c r="X41" i="5"/>
  <c r="Y41" i="5" s="1"/>
  <c r="Z41" i="5" s="1"/>
  <c r="S41" i="5"/>
  <c r="T41" i="5" s="1"/>
  <c r="U41" i="5" s="1"/>
  <c r="N41" i="5"/>
  <c r="O41" i="5" s="1"/>
  <c r="P41" i="5" s="1"/>
  <c r="J41" i="5"/>
  <c r="K41" i="5" s="1"/>
  <c r="I41" i="5"/>
  <c r="E41" i="5"/>
  <c r="F41" i="5" s="1"/>
  <c r="D41" i="5"/>
  <c r="AW40" i="5"/>
  <c r="AX40" i="5" s="1"/>
  <c r="AY40" i="5" s="1"/>
  <c r="AR40" i="5"/>
  <c r="AS40" i="5" s="1"/>
  <c r="AT40" i="5" s="1"/>
  <c r="AM40" i="5"/>
  <c r="AN40" i="5" s="1"/>
  <c r="AO40" i="5" s="1"/>
  <c r="AI40" i="5"/>
  <c r="AJ40" i="5" s="1"/>
  <c r="AH40" i="5"/>
  <c r="AC40" i="5"/>
  <c r="AD40" i="5" s="1"/>
  <c r="AE40" i="5" s="1"/>
  <c r="X40" i="5"/>
  <c r="Y40" i="5" s="1"/>
  <c r="Z40" i="5" s="1"/>
  <c r="U40" i="5"/>
  <c r="T40" i="5"/>
  <c r="S40" i="5"/>
  <c r="O40" i="5"/>
  <c r="P40" i="5" s="1"/>
  <c r="N40" i="5"/>
  <c r="J40" i="5"/>
  <c r="K40" i="5" s="1"/>
  <c r="I40" i="5"/>
  <c r="D40" i="5"/>
  <c r="E40" i="5" s="1"/>
  <c r="F40" i="5" s="1"/>
  <c r="AY39" i="5"/>
  <c r="AW39" i="5"/>
  <c r="AX39" i="5" s="1"/>
  <c r="AR39" i="5"/>
  <c r="AS39" i="5" s="1"/>
  <c r="AT39" i="5" s="1"/>
  <c r="AM39" i="5"/>
  <c r="AN39" i="5" s="1"/>
  <c r="AO39" i="5" s="1"/>
  <c r="AH39" i="5"/>
  <c r="AI39" i="5" s="1"/>
  <c r="AJ39" i="5" s="1"/>
  <c r="AD39" i="5"/>
  <c r="AE39" i="5" s="1"/>
  <c r="AC39" i="5"/>
  <c r="Y39" i="5"/>
  <c r="Z39" i="5" s="1"/>
  <c r="X39" i="5"/>
  <c r="S39" i="5"/>
  <c r="T39" i="5" s="1"/>
  <c r="U39" i="5" s="1"/>
  <c r="N39" i="5"/>
  <c r="O39" i="5" s="1"/>
  <c r="P39" i="5" s="1"/>
  <c r="I39" i="5"/>
  <c r="J39" i="5" s="1"/>
  <c r="K39" i="5" s="1"/>
  <c r="E39" i="5"/>
  <c r="F39" i="5" s="1"/>
  <c r="D39" i="5"/>
  <c r="AW38" i="5"/>
  <c r="AX38" i="5" s="1"/>
  <c r="AY38" i="5" s="1"/>
  <c r="AR38" i="5"/>
  <c r="AS38" i="5" s="1"/>
  <c r="AT38" i="5" s="1"/>
  <c r="AO38" i="5"/>
  <c r="AN38" i="5"/>
  <c r="AM38" i="5"/>
  <c r="AI38" i="5"/>
  <c r="AJ38" i="5" s="1"/>
  <c r="AH38" i="5"/>
  <c r="AD38" i="5"/>
  <c r="AE38" i="5" s="1"/>
  <c r="AC38" i="5"/>
  <c r="X38" i="5"/>
  <c r="Y38" i="5" s="1"/>
  <c r="Z38" i="5" s="1"/>
  <c r="U38" i="5"/>
  <c r="S38" i="5"/>
  <c r="T38" i="5" s="1"/>
  <c r="N38" i="5"/>
  <c r="O38" i="5" s="1"/>
  <c r="P38" i="5" s="1"/>
  <c r="I38" i="5"/>
  <c r="J38" i="5" s="1"/>
  <c r="K38" i="5" s="1"/>
  <c r="D38" i="5"/>
  <c r="E38" i="5" s="1"/>
  <c r="F38" i="5" s="1"/>
  <c r="AX37" i="5"/>
  <c r="AY37" i="5" s="1"/>
  <c r="AW37" i="5"/>
  <c r="AS37" i="5"/>
  <c r="AT37" i="5" s="1"/>
  <c r="AR37" i="5"/>
  <c r="AM37" i="5"/>
  <c r="AN37" i="5" s="1"/>
  <c r="AO37" i="5" s="1"/>
  <c r="AJ37" i="5"/>
  <c r="AH37" i="5"/>
  <c r="AI37" i="5" s="1"/>
  <c r="AC37" i="5"/>
  <c r="AD37" i="5" s="1"/>
  <c r="AE37" i="5" s="1"/>
  <c r="Z37" i="5"/>
  <c r="Y37" i="5"/>
  <c r="X37" i="5"/>
  <c r="S37" i="5"/>
  <c r="T37" i="5" s="1"/>
  <c r="U37" i="5" s="1"/>
  <c r="O37" i="5"/>
  <c r="P37" i="5" s="1"/>
  <c r="N37" i="5"/>
  <c r="J37" i="5"/>
  <c r="K37" i="5" s="1"/>
  <c r="I37" i="5"/>
  <c r="E37" i="5"/>
  <c r="F37" i="5" s="1"/>
  <c r="D37" i="5"/>
  <c r="AW36" i="5"/>
  <c r="AX36" i="5" s="1"/>
  <c r="AY36" i="5" s="1"/>
  <c r="AR36" i="5"/>
  <c r="AS36" i="5" s="1"/>
  <c r="AT36" i="5" s="1"/>
  <c r="AM36" i="5"/>
  <c r="AN36" i="5" s="1"/>
  <c r="AO36" i="5" s="1"/>
  <c r="AI36" i="5"/>
  <c r="AJ36" i="5" s="1"/>
  <c r="AH36" i="5"/>
  <c r="AC36" i="5"/>
  <c r="AD36" i="5" s="1"/>
  <c r="AE36" i="5" s="1"/>
  <c r="X36" i="5"/>
  <c r="Y36" i="5" s="1"/>
  <c r="Z36" i="5" s="1"/>
  <c r="U36" i="5"/>
  <c r="T36" i="5"/>
  <c r="S36" i="5"/>
  <c r="O36" i="5"/>
  <c r="P36" i="5" s="1"/>
  <c r="N36" i="5"/>
  <c r="K36" i="5"/>
  <c r="I36" i="5"/>
  <c r="J36" i="5" s="1"/>
  <c r="D36" i="5"/>
  <c r="E36" i="5" s="1"/>
  <c r="F36" i="5" s="1"/>
  <c r="AW35" i="5"/>
  <c r="AX35" i="5" s="1"/>
  <c r="AY35" i="5" s="1"/>
  <c r="AS35" i="5"/>
  <c r="AT35" i="5" s="1"/>
  <c r="AR35" i="5"/>
  <c r="AM35" i="5"/>
  <c r="AN35" i="5" s="1"/>
  <c r="AO35" i="5" s="1"/>
  <c r="AH35" i="5"/>
  <c r="AI35" i="5" s="1"/>
  <c r="AJ35" i="5" s="1"/>
  <c r="AD35" i="5"/>
  <c r="AE35" i="5" s="1"/>
  <c r="AC35" i="5"/>
  <c r="Y35" i="5"/>
  <c r="Z35" i="5" s="1"/>
  <c r="X35" i="5"/>
  <c r="U35" i="5"/>
  <c r="T35" i="5"/>
  <c r="S35" i="5"/>
  <c r="N35" i="5"/>
  <c r="O35" i="5" s="1"/>
  <c r="P35" i="5" s="1"/>
  <c r="K35" i="5"/>
  <c r="I35" i="5"/>
  <c r="J35" i="5" s="1"/>
  <c r="D35" i="5"/>
  <c r="E35" i="5" s="1"/>
  <c r="F35" i="5" s="1"/>
  <c r="AW34" i="5"/>
  <c r="AX34" i="5" s="1"/>
  <c r="AY34" i="5" s="1"/>
  <c r="AR34" i="5"/>
  <c r="AS34" i="5" s="1"/>
  <c r="AT34" i="5" s="1"/>
  <c r="AN34" i="5"/>
  <c r="AO34" i="5" s="1"/>
  <c r="AM34" i="5"/>
  <c r="AI34" i="5"/>
  <c r="AJ34" i="5" s="1"/>
  <c r="AH34" i="5"/>
  <c r="AC34" i="5"/>
  <c r="AD34" i="5" s="1"/>
  <c r="AE34" i="5" s="1"/>
  <c r="Z34" i="5"/>
  <c r="X34" i="5"/>
  <c r="Y34" i="5" s="1"/>
  <c r="S34" i="5"/>
  <c r="T34" i="5" s="1"/>
  <c r="U34" i="5" s="1"/>
  <c r="P34" i="5"/>
  <c r="O34" i="5"/>
  <c r="N34" i="5"/>
  <c r="I34" i="5"/>
  <c r="J34" i="5" s="1"/>
  <c r="K34" i="5" s="1"/>
  <c r="E34" i="5"/>
  <c r="F34" i="5" s="1"/>
  <c r="D34" i="5"/>
  <c r="AX33" i="5"/>
  <c r="AY33" i="5" s="1"/>
  <c r="AW33" i="5"/>
  <c r="AS33" i="5"/>
  <c r="AT33" i="5" s="1"/>
  <c r="AR33" i="5"/>
  <c r="AM33" i="5"/>
  <c r="AN33" i="5" s="1"/>
  <c r="AO33" i="5" s="1"/>
  <c r="AH33" i="5"/>
  <c r="AI33" i="5" s="1"/>
  <c r="AJ33" i="5" s="1"/>
  <c r="AC33" i="5"/>
  <c r="AD33" i="5" s="1"/>
  <c r="AE33" i="5" s="1"/>
  <c r="Y33" i="5"/>
  <c r="Z33" i="5" s="1"/>
  <c r="X33" i="5"/>
  <c r="S33" i="5"/>
  <c r="T33" i="5" s="1"/>
  <c r="U33" i="5" s="1"/>
  <c r="N33" i="5"/>
  <c r="O33" i="5" s="1"/>
  <c r="P33" i="5" s="1"/>
  <c r="K33" i="5"/>
  <c r="J33" i="5"/>
  <c r="I33" i="5"/>
  <c r="E33" i="5"/>
  <c r="F33" i="5" s="1"/>
  <c r="D33" i="5"/>
  <c r="AY32" i="5"/>
  <c r="AW32" i="5"/>
  <c r="AX32" i="5" s="1"/>
  <c r="AR32" i="5"/>
  <c r="AS32" i="5" s="1"/>
  <c r="AT32" i="5" s="1"/>
  <c r="AM32" i="5"/>
  <c r="AN32" i="5" s="1"/>
  <c r="AO32" i="5" s="1"/>
  <c r="AI32" i="5"/>
  <c r="AJ32" i="5" s="1"/>
  <c r="AH32" i="5"/>
  <c r="AC32" i="5"/>
  <c r="AD32" i="5" s="1"/>
  <c r="AE32" i="5" s="1"/>
  <c r="X32" i="5"/>
  <c r="Y32" i="5" s="1"/>
  <c r="Z32" i="5" s="1"/>
  <c r="T32" i="5"/>
  <c r="U32" i="5" s="1"/>
  <c r="S32" i="5"/>
  <c r="O32" i="5"/>
  <c r="P32" i="5" s="1"/>
  <c r="N32" i="5"/>
  <c r="K32" i="5"/>
  <c r="J32" i="5"/>
  <c r="I32" i="5"/>
  <c r="D32" i="5"/>
  <c r="E32" i="5" s="1"/>
  <c r="F32" i="5" s="1"/>
  <c r="AY31" i="5"/>
  <c r="AW31" i="5"/>
  <c r="AX31" i="5" s="1"/>
  <c r="AR31" i="5"/>
  <c r="AS31" i="5" s="1"/>
  <c r="AT31" i="5" s="1"/>
  <c r="AM31" i="5"/>
  <c r="AN31" i="5" s="1"/>
  <c r="AO31" i="5" s="1"/>
  <c r="AH31" i="5"/>
  <c r="AI31" i="5" s="1"/>
  <c r="AJ31" i="5" s="1"/>
  <c r="AD31" i="5"/>
  <c r="AE31" i="5" s="1"/>
  <c r="AC31" i="5"/>
  <c r="Y31" i="5"/>
  <c r="Z31" i="5" s="1"/>
  <c r="X31" i="5"/>
  <c r="S31" i="5"/>
  <c r="T31" i="5" s="1"/>
  <c r="U31" i="5" s="1"/>
  <c r="P31" i="5"/>
  <c r="O31" i="5"/>
  <c r="N31" i="5"/>
  <c r="K31" i="5"/>
  <c r="J31" i="5"/>
  <c r="I31" i="5"/>
  <c r="D31" i="5"/>
  <c r="E31" i="5" s="1"/>
  <c r="F31" i="5" s="1"/>
  <c r="AY30" i="5"/>
  <c r="AW30" i="5"/>
  <c r="AX30" i="5" s="1"/>
  <c r="AS30" i="5"/>
  <c r="AT30" i="5" s="1"/>
  <c r="AR30" i="5"/>
  <c r="AM30" i="5"/>
  <c r="AN30" i="5" s="1"/>
  <c r="AO30" i="5" s="1"/>
  <c r="AI30" i="5"/>
  <c r="AJ30" i="5" s="1"/>
  <c r="AH30" i="5"/>
  <c r="AC30" i="5"/>
  <c r="AD30" i="5" s="1"/>
  <c r="AE30" i="5" s="1"/>
  <c r="Z30" i="5"/>
  <c r="Y30" i="5"/>
  <c r="X30" i="5"/>
  <c r="U30" i="5"/>
  <c r="T30" i="5"/>
  <c r="S30" i="5"/>
  <c r="N30" i="5"/>
  <c r="O30" i="5" s="1"/>
  <c r="P30" i="5" s="1"/>
  <c r="K30" i="5"/>
  <c r="I30" i="5"/>
  <c r="J30" i="5" s="1"/>
  <c r="E30" i="5"/>
  <c r="F30" i="5" s="1"/>
  <c r="D30" i="5"/>
  <c r="AW29" i="5"/>
  <c r="AX29" i="5" s="1"/>
  <c r="AY29" i="5" s="1"/>
  <c r="AS29" i="5"/>
  <c r="AT29" i="5" s="1"/>
  <c r="AR29" i="5"/>
  <c r="AM29" i="5"/>
  <c r="AN29" i="5" s="1"/>
  <c r="AO29" i="5" s="1"/>
  <c r="AJ29" i="5"/>
  <c r="AI29" i="5"/>
  <c r="AH29" i="5"/>
  <c r="AE29" i="5"/>
  <c r="AD29" i="5"/>
  <c r="AC29" i="5"/>
  <c r="X29" i="5"/>
  <c r="Y29" i="5" s="1"/>
  <c r="Z29" i="5" s="1"/>
  <c r="U29" i="5"/>
  <c r="S29" i="5"/>
  <c r="T29" i="5" s="1"/>
  <c r="O29" i="5"/>
  <c r="P29" i="5" s="1"/>
  <c r="N29" i="5"/>
  <c r="I29" i="5"/>
  <c r="J29" i="5" s="1"/>
  <c r="K29" i="5" s="1"/>
  <c r="E29" i="5"/>
  <c r="F29" i="5" s="1"/>
  <c r="D29" i="5"/>
  <c r="AW28" i="5"/>
  <c r="AX28" i="5" s="1"/>
  <c r="AY28" i="5" s="1"/>
  <c r="AT28" i="5"/>
  <c r="AS28" i="5"/>
  <c r="AR28" i="5"/>
  <c r="AO28" i="5"/>
  <c r="AN28" i="5"/>
  <c r="AM28" i="5"/>
  <c r="AH28" i="5"/>
  <c r="AI28" i="5" s="1"/>
  <c r="AJ28" i="5" s="1"/>
  <c r="AE28" i="5"/>
  <c r="AC28" i="5"/>
  <c r="AD28" i="5" s="1"/>
  <c r="Y28" i="5"/>
  <c r="Z28" i="5" s="1"/>
  <c r="X28" i="5"/>
  <c r="S28" i="5"/>
  <c r="T28" i="5" s="1"/>
  <c r="U28" i="5" s="1"/>
  <c r="O28" i="5"/>
  <c r="P28" i="5" s="1"/>
  <c r="N28" i="5"/>
  <c r="I28" i="5"/>
  <c r="J28" i="5" s="1"/>
  <c r="K28" i="5" s="1"/>
  <c r="F28" i="5"/>
  <c r="E28" i="5"/>
  <c r="D28" i="5"/>
  <c r="AY27" i="5"/>
  <c r="AX27" i="5"/>
  <c r="AW27" i="5"/>
  <c r="AR27" i="5"/>
  <c r="AS27" i="5" s="1"/>
  <c r="AT27" i="5" s="1"/>
  <c r="AO27" i="5"/>
  <c r="AM27" i="5"/>
  <c r="AN27" i="5" s="1"/>
  <c r="AI27" i="5"/>
  <c r="AJ27" i="5" s="1"/>
  <c r="AH27" i="5"/>
  <c r="AC27" i="5"/>
  <c r="AD27" i="5" s="1"/>
  <c r="AE27" i="5" s="1"/>
  <c r="Y27" i="5"/>
  <c r="Z27" i="5" s="1"/>
  <c r="X27" i="5"/>
  <c r="S27" i="5"/>
  <c r="T27" i="5" s="1"/>
  <c r="U27" i="5" s="1"/>
  <c r="P27" i="5"/>
  <c r="O27" i="5"/>
  <c r="N27" i="5"/>
  <c r="K27" i="5"/>
  <c r="J27" i="5"/>
  <c r="I27" i="5"/>
  <c r="D27" i="5"/>
  <c r="E27" i="5" s="1"/>
  <c r="F27" i="5" s="1"/>
  <c r="AY26" i="5"/>
  <c r="AW26" i="5"/>
  <c r="AX26" i="5" s="1"/>
  <c r="AS26" i="5"/>
  <c r="AT26" i="5" s="1"/>
  <c r="AR26" i="5"/>
  <c r="AM26" i="5"/>
  <c r="AN26" i="5" s="1"/>
  <c r="AO26" i="5" s="1"/>
  <c r="AI26" i="5"/>
  <c r="AJ26" i="5" s="1"/>
  <c r="AH26" i="5"/>
  <c r="AC26" i="5"/>
  <c r="AD26" i="5" s="1"/>
  <c r="AE26" i="5" s="1"/>
  <c r="Z26" i="5"/>
  <c r="Y26" i="5"/>
  <c r="X26" i="5"/>
  <c r="U26" i="5"/>
  <c r="T26" i="5"/>
  <c r="S26" i="5"/>
  <c r="N26" i="5"/>
  <c r="O26" i="5" s="1"/>
  <c r="P26" i="5" s="1"/>
  <c r="K26" i="5"/>
  <c r="I26" i="5"/>
  <c r="J26" i="5" s="1"/>
  <c r="E26" i="5"/>
  <c r="F26" i="5" s="1"/>
  <c r="D26" i="5"/>
  <c r="AW25" i="5"/>
  <c r="AX25" i="5" s="1"/>
  <c r="AY25" i="5" s="1"/>
  <c r="AS25" i="5"/>
  <c r="AT25" i="5" s="1"/>
  <c r="AR25" i="5"/>
  <c r="AM25" i="5"/>
  <c r="AN25" i="5" s="1"/>
  <c r="AO25" i="5" s="1"/>
  <c r="AJ25" i="5"/>
  <c r="AI25" i="5"/>
  <c r="AH25" i="5"/>
  <c r="AE25" i="5"/>
  <c r="AD25" i="5"/>
  <c r="AC25" i="5"/>
  <c r="X25" i="5"/>
  <c r="Y25" i="5" s="1"/>
  <c r="Z25" i="5" s="1"/>
  <c r="U25" i="5"/>
  <c r="S25" i="5"/>
  <c r="T25" i="5" s="1"/>
  <c r="O25" i="5"/>
  <c r="P25" i="5" s="1"/>
  <c r="N25" i="5"/>
  <c r="I25" i="5"/>
  <c r="J25" i="5" s="1"/>
  <c r="K25" i="5" s="1"/>
  <c r="E25" i="5"/>
  <c r="F25" i="5" s="1"/>
  <c r="D25" i="5"/>
  <c r="AW24" i="5"/>
  <c r="AX24" i="5" s="1"/>
  <c r="AY24" i="5" s="1"/>
  <c r="AT24" i="5"/>
  <c r="AS24" i="5"/>
  <c r="AR24" i="5"/>
  <c r="AO24" i="5"/>
  <c r="AN24" i="5"/>
  <c r="AM24" i="5"/>
  <c r="AH24" i="5"/>
  <c r="AI24" i="5" s="1"/>
  <c r="AJ24" i="5" s="1"/>
  <c r="AE24" i="5"/>
  <c r="AC24" i="5"/>
  <c r="AD24" i="5" s="1"/>
  <c r="Y24" i="5"/>
  <c r="Z24" i="5" s="1"/>
  <c r="X24" i="5"/>
  <c r="S24" i="5"/>
  <c r="T24" i="5" s="1"/>
  <c r="U24" i="5" s="1"/>
  <c r="O24" i="5"/>
  <c r="P24" i="5" s="1"/>
  <c r="N24" i="5"/>
  <c r="I24" i="5"/>
  <c r="J24" i="5" s="1"/>
  <c r="K24" i="5" s="1"/>
  <c r="F24" i="5"/>
  <c r="E24" i="5"/>
  <c r="D24" i="5"/>
  <c r="AY23" i="5"/>
  <c r="AX23" i="5"/>
  <c r="AW23" i="5"/>
  <c r="AR23" i="5"/>
  <c r="AS23" i="5" s="1"/>
  <c r="AT23" i="5" s="1"/>
  <c r="AO23" i="5"/>
  <c r="AM23" i="5"/>
  <c r="AN23" i="5" s="1"/>
  <c r="AI23" i="5"/>
  <c r="AJ23" i="5" s="1"/>
  <c r="AH23" i="5"/>
  <c r="AC23" i="5"/>
  <c r="AD23" i="5" s="1"/>
  <c r="AE23" i="5" s="1"/>
  <c r="Y23" i="5"/>
  <c r="Z23" i="5" s="1"/>
  <c r="X23" i="5"/>
  <c r="S23" i="5"/>
  <c r="T23" i="5" s="1"/>
  <c r="U23" i="5" s="1"/>
  <c r="P23" i="5"/>
  <c r="O23" i="5"/>
  <c r="N23" i="5"/>
  <c r="K23" i="5"/>
  <c r="J23" i="5"/>
  <c r="I23" i="5"/>
  <c r="D23" i="5"/>
  <c r="E23" i="5" s="1"/>
  <c r="F23" i="5" s="1"/>
  <c r="AY22" i="5"/>
  <c r="AW22" i="5"/>
  <c r="AX22" i="5" s="1"/>
  <c r="AS22" i="5"/>
  <c r="AT22" i="5" s="1"/>
  <c r="AR22" i="5"/>
  <c r="AM22" i="5"/>
  <c r="AN22" i="5" s="1"/>
  <c r="AO22" i="5" s="1"/>
  <c r="AI22" i="5"/>
  <c r="AJ22" i="5" s="1"/>
  <c r="AH22" i="5"/>
  <c r="AC22" i="5"/>
  <c r="AD22" i="5" s="1"/>
  <c r="AE22" i="5" s="1"/>
  <c r="Z22" i="5"/>
  <c r="Y22" i="5"/>
  <c r="X22" i="5"/>
  <c r="U22" i="5"/>
  <c r="T22" i="5"/>
  <c r="S22" i="5"/>
  <c r="N22" i="5"/>
  <c r="O22" i="5" s="1"/>
  <c r="P22" i="5" s="1"/>
  <c r="K22" i="5"/>
  <c r="I22" i="5"/>
  <c r="J22" i="5" s="1"/>
  <c r="E22" i="5"/>
  <c r="F22" i="5" s="1"/>
  <c r="D22" i="5"/>
  <c r="AW21" i="5"/>
  <c r="AX21" i="5" s="1"/>
  <c r="AY21" i="5" s="1"/>
  <c r="AS21" i="5"/>
  <c r="AT21" i="5" s="1"/>
  <c r="AR21" i="5"/>
  <c r="AM21" i="5"/>
  <c r="AN21" i="5" s="1"/>
  <c r="AO21" i="5" s="1"/>
  <c r="AJ21" i="5"/>
  <c r="AI21" i="5"/>
  <c r="AH21" i="5"/>
  <c r="AE21" i="5"/>
  <c r="AD21" i="5"/>
  <c r="AC21" i="5"/>
  <c r="X21" i="5"/>
  <c r="Y21" i="5" s="1"/>
  <c r="Z21" i="5" s="1"/>
  <c r="U21" i="5"/>
  <c r="S21" i="5"/>
  <c r="T21" i="5" s="1"/>
  <c r="O21" i="5"/>
  <c r="P21" i="5" s="1"/>
  <c r="N21" i="5"/>
  <c r="I21" i="5"/>
  <c r="J21" i="5" s="1"/>
  <c r="K21" i="5" s="1"/>
  <c r="E21" i="5"/>
  <c r="F21" i="5" s="1"/>
  <c r="D21" i="5"/>
  <c r="AW20" i="5"/>
  <c r="AX20" i="5" s="1"/>
  <c r="AY20" i="5" s="1"/>
  <c r="AT20" i="5"/>
  <c r="AS20" i="5"/>
  <c r="AR20" i="5"/>
  <c r="AO20" i="5"/>
  <c r="AN20" i="5"/>
  <c r="AM20" i="5"/>
  <c r="AH20" i="5"/>
  <c r="AI20" i="5" s="1"/>
  <c r="AJ20" i="5" s="1"/>
  <c r="AE20" i="5"/>
  <c r="AC20" i="5"/>
  <c r="AD20" i="5" s="1"/>
  <c r="Y20" i="5"/>
  <c r="Z20" i="5" s="1"/>
  <c r="X20" i="5"/>
  <c r="S20" i="5"/>
  <c r="T20" i="5" s="1"/>
  <c r="U20" i="5" s="1"/>
  <c r="O20" i="5"/>
  <c r="P20" i="5" s="1"/>
  <c r="N20" i="5"/>
  <c r="I20" i="5"/>
  <c r="J20" i="5" s="1"/>
  <c r="K20" i="5" s="1"/>
  <c r="F20" i="5"/>
  <c r="E20" i="5"/>
  <c r="D20" i="5"/>
  <c r="AY19" i="5"/>
  <c r="AX19" i="5"/>
  <c r="AW19" i="5"/>
  <c r="AR19" i="5"/>
  <c r="AS19" i="5" s="1"/>
  <c r="AT19" i="5" s="1"/>
  <c r="AO19" i="5"/>
  <c r="AM19" i="5"/>
  <c r="AN19" i="5" s="1"/>
  <c r="AI19" i="5"/>
  <c r="AJ19" i="5" s="1"/>
  <c r="AH19" i="5"/>
  <c r="AC19" i="5"/>
  <c r="AD19" i="5" s="1"/>
  <c r="AE19" i="5" s="1"/>
  <c r="Y19" i="5"/>
  <c r="Z19" i="5" s="1"/>
  <c r="X19" i="5"/>
  <c r="S19" i="5"/>
  <c r="T19" i="5" s="1"/>
  <c r="U19" i="5" s="1"/>
  <c r="P19" i="5"/>
  <c r="O19" i="5"/>
  <c r="N19" i="5"/>
  <c r="K19" i="5"/>
  <c r="J19" i="5"/>
  <c r="I19" i="5"/>
  <c r="D19" i="5"/>
  <c r="E19" i="5" s="1"/>
  <c r="F19" i="5" s="1"/>
  <c r="AY18" i="5"/>
  <c r="AW18" i="5"/>
  <c r="AX18" i="5" s="1"/>
  <c r="AS18" i="5"/>
  <c r="AT18" i="5" s="1"/>
  <c r="AR18" i="5"/>
  <c r="AM18" i="5"/>
  <c r="AN18" i="5" s="1"/>
  <c r="AO18" i="5" s="1"/>
  <c r="AI18" i="5"/>
  <c r="AJ18" i="5" s="1"/>
  <c r="AH18" i="5"/>
  <c r="AC18" i="5"/>
  <c r="AD18" i="5" s="1"/>
  <c r="AE18" i="5" s="1"/>
  <c r="Z18" i="5"/>
  <c r="Y18" i="5"/>
  <c r="X18" i="5"/>
  <c r="U18" i="5"/>
  <c r="T18" i="5"/>
  <c r="S18" i="5"/>
  <c r="N18" i="5"/>
  <c r="O18" i="5" s="1"/>
  <c r="P18" i="5" s="1"/>
  <c r="K18" i="5"/>
  <c r="I18" i="5"/>
  <c r="J18" i="5" s="1"/>
  <c r="E18" i="5"/>
  <c r="F18" i="5" s="1"/>
  <c r="D18" i="5"/>
  <c r="AW17" i="5"/>
  <c r="AX17" i="5" s="1"/>
  <c r="AY17" i="5" s="1"/>
  <c r="AS17" i="5"/>
  <c r="AT17" i="5" s="1"/>
  <c r="AR17" i="5"/>
  <c r="AM17" i="5"/>
  <c r="AN17" i="5" s="1"/>
  <c r="AO17" i="5" s="1"/>
  <c r="AJ17" i="5"/>
  <c r="AI17" i="5"/>
  <c r="AH17" i="5"/>
  <c r="AE17" i="5"/>
  <c r="AD17" i="5"/>
  <c r="AC17" i="5"/>
  <c r="X17" i="5"/>
  <c r="Y17" i="5" s="1"/>
  <c r="Z17" i="5" s="1"/>
  <c r="U17" i="5"/>
  <c r="S17" i="5"/>
  <c r="T17" i="5" s="1"/>
  <c r="O17" i="5"/>
  <c r="P17" i="5" s="1"/>
  <c r="N17" i="5"/>
  <c r="I17" i="5"/>
  <c r="J17" i="5" s="1"/>
  <c r="K17" i="5" s="1"/>
  <c r="E17" i="5"/>
  <c r="F17" i="5" s="1"/>
  <c r="D17" i="5"/>
  <c r="AW16" i="5"/>
  <c r="AX16" i="5" s="1"/>
  <c r="AY16" i="5" s="1"/>
  <c r="AT16" i="5"/>
  <c r="AS16" i="5"/>
  <c r="AR16" i="5"/>
  <c r="AO16" i="5"/>
  <c r="AN16" i="5"/>
  <c r="AM16" i="5"/>
  <c r="AH16" i="5"/>
  <c r="AI16" i="5" s="1"/>
  <c r="AJ16" i="5" s="1"/>
  <c r="AE16" i="5"/>
  <c r="AC16" i="5"/>
  <c r="AD16" i="5" s="1"/>
  <c r="Y16" i="5"/>
  <c r="Z16" i="5" s="1"/>
  <c r="X16" i="5"/>
  <c r="S16" i="5"/>
  <c r="T16" i="5" s="1"/>
  <c r="U16" i="5" s="1"/>
  <c r="O16" i="5"/>
  <c r="P16" i="5" s="1"/>
  <c r="N16" i="5"/>
  <c r="I16" i="5"/>
  <c r="J16" i="5" s="1"/>
  <c r="K16" i="5" s="1"/>
  <c r="F16" i="5"/>
  <c r="E16" i="5"/>
  <c r="D16" i="5"/>
  <c r="AY15" i="5"/>
  <c r="AX15" i="5"/>
  <c r="AW15" i="5"/>
  <c r="AR15" i="5"/>
  <c r="AS15" i="5" s="1"/>
  <c r="AT15" i="5" s="1"/>
  <c r="AO15" i="5"/>
  <c r="AM15" i="5"/>
  <c r="AN15" i="5" s="1"/>
  <c r="AI15" i="5"/>
  <c r="AJ15" i="5" s="1"/>
  <c r="AH15" i="5"/>
  <c r="AC15" i="5"/>
  <c r="AD15" i="5" s="1"/>
  <c r="AE15" i="5" s="1"/>
  <c r="Y15" i="5"/>
  <c r="Z15" i="5" s="1"/>
  <c r="X15" i="5"/>
  <c r="S15" i="5"/>
  <c r="T15" i="5" s="1"/>
  <c r="U15" i="5" s="1"/>
  <c r="P15" i="5"/>
  <c r="O15" i="5"/>
  <c r="N15" i="5"/>
  <c r="K15" i="5"/>
  <c r="J15" i="5"/>
  <c r="I15" i="5"/>
  <c r="D15" i="5"/>
  <c r="E15" i="5" s="1"/>
  <c r="F15" i="5" s="1"/>
  <c r="AY14" i="5"/>
  <c r="AW14" i="5"/>
  <c r="AX14" i="5" s="1"/>
  <c r="AS14" i="5"/>
  <c r="AT14" i="5" s="1"/>
  <c r="AR14" i="5"/>
  <c r="AM14" i="5"/>
  <c r="AN14" i="5" s="1"/>
  <c r="AO14" i="5" s="1"/>
  <c r="AI14" i="5"/>
  <c r="AJ14" i="5" s="1"/>
  <c r="AH14" i="5"/>
  <c r="AD14" i="5"/>
  <c r="AE14" i="5" s="1"/>
  <c r="AC14" i="5"/>
  <c r="X14" i="5"/>
  <c r="Y14" i="5" s="1"/>
  <c r="Z14" i="5" s="1"/>
  <c r="S14" i="5"/>
  <c r="T14" i="5" s="1"/>
  <c r="U14" i="5" s="1"/>
  <c r="P14" i="5"/>
  <c r="O14" i="5"/>
  <c r="N14" i="5"/>
  <c r="J14" i="5"/>
  <c r="K14" i="5" s="1"/>
  <c r="I14" i="5"/>
  <c r="D14" i="5"/>
  <c r="E14" i="5" s="1"/>
  <c r="F14" i="5" s="1"/>
  <c r="AW13" i="5"/>
  <c r="AX13" i="5" s="1"/>
  <c r="AY13" i="5" s="1"/>
  <c r="AT13" i="5"/>
  <c r="AS13" i="5"/>
  <c r="AR13" i="5"/>
  <c r="AN13" i="5"/>
  <c r="AO13" i="5" s="1"/>
  <c r="AM13" i="5"/>
  <c r="AH13" i="5"/>
  <c r="AI13" i="5" s="1"/>
  <c r="AJ13" i="5" s="1"/>
  <c r="AC13" i="5"/>
  <c r="AD13" i="5" s="1"/>
  <c r="AE13" i="5" s="1"/>
  <c r="Z13" i="5"/>
  <c r="Y13" i="5"/>
  <c r="X13" i="5"/>
  <c r="T13" i="5"/>
  <c r="U13" i="5" s="1"/>
  <c r="S13" i="5"/>
  <c r="N13" i="5"/>
  <c r="O13" i="5" s="1"/>
  <c r="P13" i="5" s="1"/>
  <c r="I13" i="5"/>
  <c r="J13" i="5" s="1"/>
  <c r="K13" i="5" s="1"/>
  <c r="F13" i="5"/>
  <c r="E13" i="5"/>
  <c r="D13" i="5"/>
  <c r="AX12" i="5"/>
  <c r="AY12" i="5" s="1"/>
  <c r="AW12" i="5"/>
  <c r="AR12" i="5"/>
  <c r="AS12" i="5" s="1"/>
  <c r="AT12" i="5" s="1"/>
  <c r="AM12" i="5"/>
  <c r="AN12" i="5" s="1"/>
  <c r="AO12" i="5" s="1"/>
  <c r="AJ12" i="5"/>
  <c r="AI12" i="5"/>
  <c r="AH12" i="5"/>
  <c r="AD12" i="5"/>
  <c r="AE12" i="5" s="1"/>
  <c r="AC12" i="5"/>
  <c r="X12" i="5"/>
  <c r="Y12" i="5" s="1"/>
  <c r="Z12" i="5" s="1"/>
  <c r="S12" i="5"/>
  <c r="T12" i="5" s="1"/>
  <c r="U12" i="5" s="1"/>
  <c r="P12" i="5"/>
  <c r="O12" i="5"/>
  <c r="N12" i="5"/>
  <c r="J12" i="5"/>
  <c r="K12" i="5" s="1"/>
  <c r="I12" i="5"/>
  <c r="D12" i="5"/>
  <c r="E12" i="5" s="1"/>
  <c r="F12" i="5" s="1"/>
  <c r="AW11" i="5"/>
  <c r="AX11" i="5" s="1"/>
  <c r="AY11" i="5" s="1"/>
  <c r="AT11" i="5"/>
  <c r="AS11" i="5"/>
  <c r="AR11" i="5"/>
  <c r="AN11" i="5"/>
  <c r="AO11" i="5" s="1"/>
  <c r="AM11" i="5"/>
  <c r="AH11" i="5"/>
  <c r="AI11" i="5" s="1"/>
  <c r="AJ11" i="5" s="1"/>
  <c r="AC11" i="5"/>
  <c r="AD11" i="5" s="1"/>
  <c r="AE11" i="5" s="1"/>
  <c r="Z11" i="5"/>
  <c r="Y11" i="5"/>
  <c r="X11" i="5"/>
  <c r="T11" i="5"/>
  <c r="U11" i="5" s="1"/>
  <c r="S11" i="5"/>
  <c r="N11" i="5"/>
  <c r="O11" i="5" s="1"/>
  <c r="P11" i="5" s="1"/>
  <c r="I11" i="5"/>
  <c r="J11" i="5" s="1"/>
  <c r="K11" i="5" s="1"/>
  <c r="F11" i="5"/>
  <c r="E11" i="5"/>
  <c r="D11" i="5"/>
  <c r="AX10" i="5"/>
  <c r="AY10" i="5" s="1"/>
  <c r="AW10" i="5"/>
  <c r="AR10" i="5"/>
  <c r="AS10" i="5" s="1"/>
  <c r="AT10" i="5" s="1"/>
  <c r="AM10" i="5"/>
  <c r="AN10" i="5" s="1"/>
  <c r="AO10" i="5" s="1"/>
  <c r="AJ10" i="5"/>
  <c r="AI10" i="5"/>
  <c r="AH10" i="5"/>
  <c r="AD10" i="5"/>
  <c r="AE10" i="5" s="1"/>
  <c r="AC10" i="5"/>
  <c r="X10" i="5"/>
  <c r="Y10" i="5" s="1"/>
  <c r="Z10" i="5" s="1"/>
  <c r="S10" i="5"/>
  <c r="T10" i="5" s="1"/>
  <c r="U10" i="5" s="1"/>
  <c r="P10" i="5"/>
  <c r="O10" i="5"/>
  <c r="N10" i="5"/>
  <c r="J10" i="5"/>
  <c r="K10" i="5" s="1"/>
  <c r="I10" i="5"/>
  <c r="D10" i="5"/>
  <c r="E10" i="5" s="1"/>
  <c r="F10" i="5" s="1"/>
  <c r="AW9" i="5"/>
  <c r="AX9" i="5" s="1"/>
  <c r="AY9" i="5" s="1"/>
  <c r="AT9" i="5"/>
  <c r="AS9" i="5"/>
  <c r="AR9" i="5"/>
  <c r="AN9" i="5"/>
  <c r="AO9" i="5" s="1"/>
  <c r="AM9" i="5"/>
  <c r="AH9" i="5"/>
  <c r="AI9" i="5" s="1"/>
  <c r="AJ9" i="5" s="1"/>
  <c r="AC9" i="5"/>
  <c r="AD9" i="5" s="1"/>
  <c r="AE9" i="5" s="1"/>
  <c r="Z9" i="5"/>
  <c r="Y9" i="5"/>
  <c r="X9" i="5"/>
  <c r="T9" i="5"/>
  <c r="U9" i="5" s="1"/>
  <c r="S9" i="5"/>
  <c r="N9" i="5"/>
  <c r="O9" i="5" s="1"/>
  <c r="P9" i="5" s="1"/>
  <c r="I9" i="5"/>
  <c r="J9" i="5" s="1"/>
  <c r="K9" i="5" s="1"/>
  <c r="F9" i="5"/>
  <c r="E9" i="5"/>
  <c r="D9" i="5"/>
  <c r="AX8" i="5"/>
  <c r="AY8" i="5" s="1"/>
  <c r="AW8" i="5"/>
  <c r="AR8" i="5"/>
  <c r="AS8" i="5" s="1"/>
  <c r="AT8" i="5" s="1"/>
  <c r="AM8" i="5"/>
  <c r="AN8" i="5" s="1"/>
  <c r="AO8" i="5" s="1"/>
  <c r="AJ8" i="5"/>
  <c r="AI8" i="5"/>
  <c r="AH8" i="5"/>
  <c r="AD8" i="5"/>
  <c r="AE8" i="5" s="1"/>
  <c r="AC8" i="5"/>
  <c r="X8" i="5"/>
  <c r="Y8" i="5" s="1"/>
  <c r="Z8" i="5" s="1"/>
  <c r="S8" i="5"/>
  <c r="T8" i="5" s="1"/>
  <c r="U8" i="5" s="1"/>
  <c r="P8" i="5"/>
  <c r="O8" i="5"/>
  <c r="N8" i="5"/>
  <c r="J8" i="5"/>
  <c r="K8" i="5" s="1"/>
  <c r="I8" i="5"/>
  <c r="D8" i="5"/>
  <c r="E8" i="5" s="1"/>
  <c r="F8" i="5" s="1"/>
  <c r="AW7" i="5"/>
  <c r="AX7" i="5" s="1"/>
  <c r="AY7" i="5" s="1"/>
  <c r="AT7" i="5"/>
  <c r="AS7" i="5"/>
  <c r="AR7" i="5"/>
  <c r="AN7" i="5"/>
  <c r="AO7" i="5" s="1"/>
  <c r="AM7" i="5"/>
  <c r="AH7" i="5"/>
  <c r="AI7" i="5" s="1"/>
  <c r="AJ7" i="5" s="1"/>
  <c r="AC7" i="5"/>
  <c r="AD7" i="5" s="1"/>
  <c r="AE7" i="5" s="1"/>
  <c r="Z7" i="5"/>
  <c r="Y7" i="5"/>
  <c r="X7" i="5"/>
  <c r="T7" i="5"/>
  <c r="U7" i="5" s="1"/>
  <c r="S7" i="5"/>
  <c r="N7" i="5"/>
  <c r="O7" i="5" s="1"/>
  <c r="P7" i="5" s="1"/>
  <c r="I7" i="5"/>
  <c r="J7" i="5" s="1"/>
  <c r="K7" i="5" s="1"/>
  <c r="F7" i="5"/>
  <c r="E7" i="5"/>
  <c r="D7" i="5"/>
  <c r="AX6" i="5"/>
  <c r="AY6" i="5" s="1"/>
  <c r="AW6" i="5"/>
  <c r="AR6" i="5"/>
  <c r="AS6" i="5" s="1"/>
  <c r="AT6" i="5" s="1"/>
  <c r="AM6" i="5"/>
  <c r="AN6" i="5" s="1"/>
  <c r="AO6" i="5" s="1"/>
  <c r="AJ6" i="5"/>
  <c r="AI6" i="5"/>
  <c r="AH6" i="5"/>
  <c r="AD6" i="5"/>
  <c r="AE6" i="5" s="1"/>
  <c r="AC6" i="5"/>
  <c r="X6" i="5"/>
  <c r="Y6" i="5" s="1"/>
  <c r="Z6" i="5" s="1"/>
  <c r="S6" i="5"/>
  <c r="T6" i="5" s="1"/>
  <c r="U6" i="5" s="1"/>
  <c r="P6" i="5"/>
  <c r="O6" i="5"/>
  <c r="N6" i="5"/>
  <c r="J6" i="5"/>
  <c r="K6" i="5" s="1"/>
  <c r="I6" i="5"/>
  <c r="D6" i="5"/>
  <c r="E6" i="5" s="1"/>
  <c r="F6" i="5" s="1"/>
  <c r="AW5" i="5"/>
  <c r="AX5" i="5" s="1"/>
  <c r="AY5" i="5" s="1"/>
  <c r="AT5" i="5"/>
  <c r="AS5" i="5"/>
  <c r="AR5" i="5"/>
  <c r="AN5" i="5"/>
  <c r="AO5" i="5" s="1"/>
  <c r="AM5" i="5"/>
  <c r="AH5" i="5"/>
  <c r="AI5" i="5" s="1"/>
  <c r="AJ5" i="5" s="1"/>
  <c r="AC5" i="5"/>
  <c r="AD5" i="5" s="1"/>
  <c r="AE5" i="5" s="1"/>
  <c r="Z5" i="5"/>
  <c r="Y5" i="5"/>
  <c r="X5" i="5"/>
  <c r="T5" i="5"/>
  <c r="U5" i="5" s="1"/>
  <c r="S5" i="5"/>
  <c r="N5" i="5"/>
  <c r="O5" i="5" s="1"/>
  <c r="P5" i="5" s="1"/>
  <c r="I5" i="5"/>
  <c r="J5" i="5" s="1"/>
  <c r="K5" i="5" s="1"/>
  <c r="F5" i="5"/>
  <c r="E5" i="5"/>
  <c r="D5" i="5"/>
  <c r="AX4" i="5"/>
  <c r="AY4" i="5" s="1"/>
  <c r="AW4" i="5"/>
  <c r="AR4" i="5"/>
  <c r="AS4" i="5" s="1"/>
  <c r="AT4" i="5" s="1"/>
  <c r="AM4" i="5"/>
  <c r="AN4" i="5" s="1"/>
  <c r="AO4" i="5" s="1"/>
  <c r="AJ4" i="5"/>
  <c r="AI4" i="5"/>
  <c r="AH4" i="5"/>
  <c r="AD4" i="5"/>
  <c r="AE4" i="5" s="1"/>
  <c r="AC4" i="5"/>
  <c r="X4" i="5"/>
  <c r="Y4" i="5" s="1"/>
  <c r="Z4" i="5" s="1"/>
  <c r="S4" i="5"/>
  <c r="T4" i="5" s="1"/>
  <c r="U4" i="5" s="1"/>
  <c r="P4" i="5"/>
  <c r="O4" i="5"/>
  <c r="N4" i="5"/>
  <c r="J4" i="5"/>
  <c r="K4" i="5" s="1"/>
  <c r="I4" i="5"/>
  <c r="D4" i="5"/>
  <c r="E4" i="5" s="1"/>
  <c r="F4" i="5" s="1"/>
  <c r="AW3" i="5"/>
  <c r="AX3" i="5" s="1"/>
  <c r="AY3" i="5" s="1"/>
  <c r="AT3" i="5"/>
  <c r="AS3" i="5"/>
  <c r="AR3" i="5"/>
  <c r="AN3" i="5"/>
  <c r="AO3" i="5" s="1"/>
  <c r="AM3" i="5"/>
  <c r="AH3" i="5"/>
  <c r="AI3" i="5" s="1"/>
  <c r="AJ3" i="5" s="1"/>
  <c r="AJ103" i="5" s="1"/>
  <c r="AC3" i="5"/>
  <c r="AD3" i="5" s="1"/>
  <c r="AE3" i="5" s="1"/>
  <c r="Z3" i="5"/>
  <c r="Y3" i="5"/>
  <c r="X3" i="5"/>
  <c r="T3" i="5"/>
  <c r="U3" i="5" s="1"/>
  <c r="S3" i="5"/>
  <c r="N3" i="5"/>
  <c r="O3" i="5" s="1"/>
  <c r="P3" i="5" s="1"/>
  <c r="I3" i="5"/>
  <c r="J3" i="5" s="1"/>
  <c r="K3" i="5" s="1"/>
  <c r="K103" i="5" s="1"/>
  <c r="F3" i="5"/>
  <c r="E3" i="5"/>
  <c r="D3" i="5"/>
  <c r="P103" i="5" l="1"/>
  <c r="AO103" i="5"/>
  <c r="U103" i="5"/>
  <c r="AY103" i="5"/>
  <c r="AE103" i="5"/>
  <c r="F103" i="5"/>
  <c r="Z103" i="5"/>
  <c r="AT103" i="5"/>
  <c r="AW102" i="3"/>
  <c r="AX102" i="3" s="1"/>
  <c r="AY102" i="3" s="1"/>
  <c r="AR102" i="3"/>
  <c r="AS102" i="3" s="1"/>
  <c r="AT102" i="3" s="1"/>
  <c r="AM102" i="3"/>
  <c r="AN102" i="3" s="1"/>
  <c r="AO102" i="3" s="1"/>
  <c r="AH102" i="3"/>
  <c r="AI102" i="3" s="1"/>
  <c r="AJ102" i="3" s="1"/>
  <c r="AC102" i="3"/>
  <c r="AD102" i="3" s="1"/>
  <c r="AE102" i="3" s="1"/>
  <c r="X102" i="3"/>
  <c r="Y102" i="3" s="1"/>
  <c r="Z102" i="3" s="1"/>
  <c r="S102" i="3"/>
  <c r="T102" i="3" s="1"/>
  <c r="U102" i="3" s="1"/>
  <c r="N102" i="3"/>
  <c r="O102" i="3" s="1"/>
  <c r="P102" i="3" s="1"/>
  <c r="I102" i="3"/>
  <c r="J102" i="3" s="1"/>
  <c r="K102" i="3" s="1"/>
  <c r="D102" i="3"/>
  <c r="E102" i="3" s="1"/>
  <c r="F102" i="3" s="1"/>
  <c r="AW101" i="3"/>
  <c r="AX101" i="3" s="1"/>
  <c r="AY101" i="3" s="1"/>
  <c r="AR101" i="3"/>
  <c r="AS101" i="3" s="1"/>
  <c r="AT101" i="3" s="1"/>
  <c r="AM101" i="3"/>
  <c r="AN101" i="3" s="1"/>
  <c r="AO101" i="3" s="1"/>
  <c r="AH101" i="3"/>
  <c r="AI101" i="3" s="1"/>
  <c r="AJ101" i="3" s="1"/>
  <c r="AC101" i="3"/>
  <c r="AD101" i="3" s="1"/>
  <c r="AE101" i="3" s="1"/>
  <c r="X101" i="3"/>
  <c r="Y101" i="3" s="1"/>
  <c r="Z101" i="3" s="1"/>
  <c r="S101" i="3"/>
  <c r="T101" i="3" s="1"/>
  <c r="U101" i="3" s="1"/>
  <c r="N101" i="3"/>
  <c r="O101" i="3" s="1"/>
  <c r="P101" i="3" s="1"/>
  <c r="I101" i="3"/>
  <c r="J101" i="3" s="1"/>
  <c r="K101" i="3" s="1"/>
  <c r="D101" i="3"/>
  <c r="E101" i="3" s="1"/>
  <c r="F101" i="3" s="1"/>
  <c r="AW100" i="3"/>
  <c r="AX100" i="3" s="1"/>
  <c r="AY100" i="3" s="1"/>
  <c r="AR100" i="3"/>
  <c r="AS100" i="3" s="1"/>
  <c r="AT100" i="3" s="1"/>
  <c r="AM100" i="3"/>
  <c r="AN100" i="3" s="1"/>
  <c r="AO100" i="3" s="1"/>
  <c r="AH100" i="3"/>
  <c r="AI100" i="3" s="1"/>
  <c r="AJ100" i="3" s="1"/>
  <c r="AC100" i="3"/>
  <c r="AD100" i="3" s="1"/>
  <c r="AE100" i="3" s="1"/>
  <c r="X100" i="3"/>
  <c r="Y100" i="3" s="1"/>
  <c r="Z100" i="3" s="1"/>
  <c r="S100" i="3"/>
  <c r="T100" i="3" s="1"/>
  <c r="U100" i="3" s="1"/>
  <c r="N100" i="3"/>
  <c r="O100" i="3" s="1"/>
  <c r="P100" i="3" s="1"/>
  <c r="I100" i="3"/>
  <c r="J100" i="3" s="1"/>
  <c r="K100" i="3" s="1"/>
  <c r="D100" i="3"/>
  <c r="E100" i="3" s="1"/>
  <c r="F100" i="3" s="1"/>
  <c r="AW99" i="3"/>
  <c r="AX99" i="3" s="1"/>
  <c r="AY99" i="3" s="1"/>
  <c r="AR99" i="3"/>
  <c r="AS99" i="3" s="1"/>
  <c r="AT99" i="3" s="1"/>
  <c r="AM99" i="3"/>
  <c r="AN99" i="3" s="1"/>
  <c r="AO99" i="3" s="1"/>
  <c r="AH99" i="3"/>
  <c r="AI99" i="3" s="1"/>
  <c r="AJ99" i="3" s="1"/>
  <c r="AC99" i="3"/>
  <c r="AD99" i="3" s="1"/>
  <c r="AE99" i="3" s="1"/>
  <c r="X99" i="3"/>
  <c r="Y99" i="3" s="1"/>
  <c r="Z99" i="3" s="1"/>
  <c r="S99" i="3"/>
  <c r="T99" i="3" s="1"/>
  <c r="U99" i="3" s="1"/>
  <c r="N99" i="3"/>
  <c r="O99" i="3" s="1"/>
  <c r="P99" i="3" s="1"/>
  <c r="I99" i="3"/>
  <c r="J99" i="3" s="1"/>
  <c r="K99" i="3" s="1"/>
  <c r="D99" i="3"/>
  <c r="E99" i="3" s="1"/>
  <c r="F99" i="3" s="1"/>
  <c r="AW98" i="3"/>
  <c r="AX98" i="3" s="1"/>
  <c r="AY98" i="3" s="1"/>
  <c r="AR98" i="3"/>
  <c r="AS98" i="3" s="1"/>
  <c r="AT98" i="3" s="1"/>
  <c r="AM98" i="3"/>
  <c r="AN98" i="3" s="1"/>
  <c r="AO98" i="3" s="1"/>
  <c r="AH98" i="3"/>
  <c r="AI98" i="3" s="1"/>
  <c r="AJ98" i="3" s="1"/>
  <c r="AC98" i="3"/>
  <c r="AD98" i="3" s="1"/>
  <c r="AE98" i="3" s="1"/>
  <c r="X98" i="3"/>
  <c r="Y98" i="3" s="1"/>
  <c r="Z98" i="3" s="1"/>
  <c r="S98" i="3"/>
  <c r="T98" i="3" s="1"/>
  <c r="U98" i="3" s="1"/>
  <c r="N98" i="3"/>
  <c r="O98" i="3" s="1"/>
  <c r="P98" i="3" s="1"/>
  <c r="I98" i="3"/>
  <c r="J98" i="3" s="1"/>
  <c r="K98" i="3" s="1"/>
  <c r="D98" i="3"/>
  <c r="E98" i="3" s="1"/>
  <c r="F98" i="3" s="1"/>
  <c r="AW97" i="3"/>
  <c r="AX97" i="3" s="1"/>
  <c r="AY97" i="3" s="1"/>
  <c r="AR97" i="3"/>
  <c r="AS97" i="3" s="1"/>
  <c r="AT97" i="3" s="1"/>
  <c r="AM97" i="3"/>
  <c r="AN97" i="3" s="1"/>
  <c r="AO97" i="3" s="1"/>
  <c r="AH97" i="3"/>
  <c r="AI97" i="3" s="1"/>
  <c r="AJ97" i="3" s="1"/>
  <c r="AC97" i="3"/>
  <c r="AD97" i="3" s="1"/>
  <c r="AE97" i="3" s="1"/>
  <c r="X97" i="3"/>
  <c r="Y97" i="3" s="1"/>
  <c r="Z97" i="3" s="1"/>
  <c r="S97" i="3"/>
  <c r="T97" i="3" s="1"/>
  <c r="U97" i="3" s="1"/>
  <c r="N97" i="3"/>
  <c r="O97" i="3" s="1"/>
  <c r="P97" i="3" s="1"/>
  <c r="I97" i="3"/>
  <c r="J97" i="3" s="1"/>
  <c r="K97" i="3" s="1"/>
  <c r="D97" i="3"/>
  <c r="E97" i="3" s="1"/>
  <c r="F97" i="3" s="1"/>
  <c r="AW96" i="3"/>
  <c r="AX96" i="3" s="1"/>
  <c r="AY96" i="3" s="1"/>
  <c r="AR96" i="3"/>
  <c r="AS96" i="3" s="1"/>
  <c r="AT96" i="3" s="1"/>
  <c r="AM96" i="3"/>
  <c r="AN96" i="3" s="1"/>
  <c r="AO96" i="3" s="1"/>
  <c r="AH96" i="3"/>
  <c r="AI96" i="3" s="1"/>
  <c r="AJ96" i="3" s="1"/>
  <c r="AC96" i="3"/>
  <c r="AD96" i="3" s="1"/>
  <c r="AE96" i="3" s="1"/>
  <c r="X96" i="3"/>
  <c r="Y96" i="3" s="1"/>
  <c r="Z96" i="3" s="1"/>
  <c r="S96" i="3"/>
  <c r="T96" i="3" s="1"/>
  <c r="U96" i="3" s="1"/>
  <c r="N96" i="3"/>
  <c r="O96" i="3" s="1"/>
  <c r="P96" i="3" s="1"/>
  <c r="I96" i="3"/>
  <c r="J96" i="3" s="1"/>
  <c r="K96" i="3" s="1"/>
  <c r="D96" i="3"/>
  <c r="E96" i="3" s="1"/>
  <c r="F96" i="3" s="1"/>
  <c r="AW95" i="3"/>
  <c r="AX95" i="3" s="1"/>
  <c r="AY95" i="3" s="1"/>
  <c r="AR95" i="3"/>
  <c r="AS95" i="3" s="1"/>
  <c r="AT95" i="3" s="1"/>
  <c r="AM95" i="3"/>
  <c r="AN95" i="3" s="1"/>
  <c r="AO95" i="3" s="1"/>
  <c r="AH95" i="3"/>
  <c r="AI95" i="3" s="1"/>
  <c r="AJ95" i="3" s="1"/>
  <c r="AC95" i="3"/>
  <c r="AD95" i="3" s="1"/>
  <c r="AE95" i="3" s="1"/>
  <c r="X95" i="3"/>
  <c r="Y95" i="3" s="1"/>
  <c r="Z95" i="3" s="1"/>
  <c r="S95" i="3"/>
  <c r="T95" i="3" s="1"/>
  <c r="U95" i="3" s="1"/>
  <c r="N95" i="3"/>
  <c r="O95" i="3" s="1"/>
  <c r="P95" i="3" s="1"/>
  <c r="I95" i="3"/>
  <c r="J95" i="3" s="1"/>
  <c r="K95" i="3" s="1"/>
  <c r="D95" i="3"/>
  <c r="E95" i="3" s="1"/>
  <c r="F95" i="3" s="1"/>
  <c r="AW94" i="3"/>
  <c r="AX94" i="3" s="1"/>
  <c r="AY94" i="3" s="1"/>
  <c r="AR94" i="3"/>
  <c r="AS94" i="3" s="1"/>
  <c r="AT94" i="3" s="1"/>
  <c r="AM94" i="3"/>
  <c r="AN94" i="3" s="1"/>
  <c r="AO94" i="3" s="1"/>
  <c r="AH94" i="3"/>
  <c r="AI94" i="3" s="1"/>
  <c r="AJ94" i="3" s="1"/>
  <c r="AC94" i="3"/>
  <c r="AD94" i="3" s="1"/>
  <c r="AE94" i="3" s="1"/>
  <c r="X94" i="3"/>
  <c r="Y94" i="3" s="1"/>
  <c r="Z94" i="3" s="1"/>
  <c r="S94" i="3"/>
  <c r="T94" i="3" s="1"/>
  <c r="U94" i="3" s="1"/>
  <c r="N94" i="3"/>
  <c r="O94" i="3" s="1"/>
  <c r="P94" i="3" s="1"/>
  <c r="I94" i="3"/>
  <c r="J94" i="3" s="1"/>
  <c r="K94" i="3" s="1"/>
  <c r="D94" i="3"/>
  <c r="E94" i="3" s="1"/>
  <c r="F94" i="3" s="1"/>
  <c r="AW93" i="3"/>
  <c r="AX93" i="3" s="1"/>
  <c r="AY93" i="3" s="1"/>
  <c r="AR93" i="3"/>
  <c r="AS93" i="3" s="1"/>
  <c r="AT93" i="3" s="1"/>
  <c r="AM93" i="3"/>
  <c r="AN93" i="3" s="1"/>
  <c r="AO93" i="3" s="1"/>
  <c r="AH93" i="3"/>
  <c r="AI93" i="3" s="1"/>
  <c r="AJ93" i="3" s="1"/>
  <c r="AC93" i="3"/>
  <c r="AD93" i="3" s="1"/>
  <c r="AE93" i="3" s="1"/>
  <c r="X93" i="3"/>
  <c r="Y93" i="3" s="1"/>
  <c r="Z93" i="3" s="1"/>
  <c r="S93" i="3"/>
  <c r="T93" i="3" s="1"/>
  <c r="U93" i="3" s="1"/>
  <c r="N93" i="3"/>
  <c r="O93" i="3" s="1"/>
  <c r="P93" i="3" s="1"/>
  <c r="I93" i="3"/>
  <c r="J93" i="3" s="1"/>
  <c r="K93" i="3" s="1"/>
  <c r="D93" i="3"/>
  <c r="E93" i="3" s="1"/>
  <c r="F93" i="3" s="1"/>
  <c r="AW92" i="3"/>
  <c r="AX92" i="3" s="1"/>
  <c r="AY92" i="3" s="1"/>
  <c r="AR92" i="3"/>
  <c r="AS92" i="3" s="1"/>
  <c r="AT92" i="3" s="1"/>
  <c r="AM92" i="3"/>
  <c r="AN92" i="3" s="1"/>
  <c r="AO92" i="3" s="1"/>
  <c r="AH92" i="3"/>
  <c r="AI92" i="3" s="1"/>
  <c r="AJ92" i="3" s="1"/>
  <c r="AC92" i="3"/>
  <c r="AD92" i="3" s="1"/>
  <c r="AE92" i="3" s="1"/>
  <c r="X92" i="3"/>
  <c r="Y92" i="3" s="1"/>
  <c r="Z92" i="3" s="1"/>
  <c r="S92" i="3"/>
  <c r="T92" i="3" s="1"/>
  <c r="U92" i="3" s="1"/>
  <c r="N92" i="3"/>
  <c r="O92" i="3" s="1"/>
  <c r="P92" i="3" s="1"/>
  <c r="I92" i="3"/>
  <c r="J92" i="3" s="1"/>
  <c r="K92" i="3" s="1"/>
  <c r="D92" i="3"/>
  <c r="E92" i="3" s="1"/>
  <c r="F92" i="3" s="1"/>
  <c r="AW91" i="3"/>
  <c r="AX91" i="3" s="1"/>
  <c r="AY91" i="3" s="1"/>
  <c r="AR91" i="3"/>
  <c r="AS91" i="3" s="1"/>
  <c r="AT91" i="3" s="1"/>
  <c r="AM91" i="3"/>
  <c r="AN91" i="3" s="1"/>
  <c r="AO91" i="3" s="1"/>
  <c r="AH91" i="3"/>
  <c r="AI91" i="3" s="1"/>
  <c r="AJ91" i="3" s="1"/>
  <c r="AC91" i="3"/>
  <c r="AD91" i="3" s="1"/>
  <c r="AE91" i="3" s="1"/>
  <c r="X91" i="3"/>
  <c r="Y91" i="3" s="1"/>
  <c r="Z91" i="3" s="1"/>
  <c r="S91" i="3"/>
  <c r="T91" i="3" s="1"/>
  <c r="U91" i="3" s="1"/>
  <c r="N91" i="3"/>
  <c r="O91" i="3" s="1"/>
  <c r="P91" i="3" s="1"/>
  <c r="I91" i="3"/>
  <c r="J91" i="3" s="1"/>
  <c r="K91" i="3" s="1"/>
  <c r="D91" i="3"/>
  <c r="E91" i="3" s="1"/>
  <c r="F91" i="3" s="1"/>
  <c r="AW90" i="3"/>
  <c r="AX90" i="3" s="1"/>
  <c r="AY90" i="3" s="1"/>
  <c r="AR90" i="3"/>
  <c r="AS90" i="3" s="1"/>
  <c r="AT90" i="3" s="1"/>
  <c r="AM90" i="3"/>
  <c r="AN90" i="3" s="1"/>
  <c r="AO90" i="3" s="1"/>
  <c r="AH90" i="3"/>
  <c r="AI90" i="3" s="1"/>
  <c r="AJ90" i="3" s="1"/>
  <c r="AC90" i="3"/>
  <c r="AD90" i="3" s="1"/>
  <c r="AE90" i="3" s="1"/>
  <c r="X90" i="3"/>
  <c r="Y90" i="3" s="1"/>
  <c r="Z90" i="3" s="1"/>
  <c r="S90" i="3"/>
  <c r="T90" i="3" s="1"/>
  <c r="U90" i="3" s="1"/>
  <c r="N90" i="3"/>
  <c r="O90" i="3" s="1"/>
  <c r="P90" i="3" s="1"/>
  <c r="I90" i="3"/>
  <c r="J90" i="3" s="1"/>
  <c r="K90" i="3" s="1"/>
  <c r="D90" i="3"/>
  <c r="E90" i="3" s="1"/>
  <c r="F90" i="3" s="1"/>
  <c r="AW89" i="3"/>
  <c r="AX89" i="3" s="1"/>
  <c r="AY89" i="3" s="1"/>
  <c r="AR89" i="3"/>
  <c r="AS89" i="3" s="1"/>
  <c r="AT89" i="3" s="1"/>
  <c r="AM89" i="3"/>
  <c r="AN89" i="3" s="1"/>
  <c r="AO89" i="3" s="1"/>
  <c r="AH89" i="3"/>
  <c r="AI89" i="3" s="1"/>
  <c r="AJ89" i="3" s="1"/>
  <c r="AC89" i="3"/>
  <c r="AD89" i="3" s="1"/>
  <c r="AE89" i="3" s="1"/>
  <c r="X89" i="3"/>
  <c r="Y89" i="3" s="1"/>
  <c r="Z89" i="3" s="1"/>
  <c r="S89" i="3"/>
  <c r="T89" i="3" s="1"/>
  <c r="U89" i="3" s="1"/>
  <c r="N89" i="3"/>
  <c r="O89" i="3" s="1"/>
  <c r="P89" i="3" s="1"/>
  <c r="I89" i="3"/>
  <c r="J89" i="3" s="1"/>
  <c r="K89" i="3" s="1"/>
  <c r="D89" i="3"/>
  <c r="E89" i="3" s="1"/>
  <c r="F89" i="3" s="1"/>
  <c r="AW88" i="3"/>
  <c r="AX88" i="3" s="1"/>
  <c r="AY88" i="3" s="1"/>
  <c r="AR88" i="3"/>
  <c r="AS88" i="3" s="1"/>
  <c r="AT88" i="3" s="1"/>
  <c r="AM88" i="3"/>
  <c r="AN88" i="3" s="1"/>
  <c r="AO88" i="3" s="1"/>
  <c r="AH88" i="3"/>
  <c r="AI88" i="3" s="1"/>
  <c r="AJ88" i="3" s="1"/>
  <c r="AC88" i="3"/>
  <c r="AD88" i="3" s="1"/>
  <c r="AE88" i="3" s="1"/>
  <c r="X88" i="3"/>
  <c r="Y88" i="3" s="1"/>
  <c r="Z88" i="3" s="1"/>
  <c r="S88" i="3"/>
  <c r="T88" i="3" s="1"/>
  <c r="U88" i="3" s="1"/>
  <c r="N88" i="3"/>
  <c r="O88" i="3" s="1"/>
  <c r="P88" i="3" s="1"/>
  <c r="I88" i="3"/>
  <c r="J88" i="3" s="1"/>
  <c r="K88" i="3" s="1"/>
  <c r="D88" i="3"/>
  <c r="E88" i="3" s="1"/>
  <c r="F88" i="3" s="1"/>
  <c r="AW87" i="3"/>
  <c r="AX87" i="3" s="1"/>
  <c r="AY87" i="3" s="1"/>
  <c r="AR87" i="3"/>
  <c r="AS87" i="3" s="1"/>
  <c r="AT87" i="3" s="1"/>
  <c r="AM87" i="3"/>
  <c r="AN87" i="3" s="1"/>
  <c r="AO87" i="3" s="1"/>
  <c r="AH87" i="3"/>
  <c r="AI87" i="3" s="1"/>
  <c r="AJ87" i="3" s="1"/>
  <c r="AC87" i="3"/>
  <c r="AD87" i="3" s="1"/>
  <c r="AE87" i="3" s="1"/>
  <c r="X87" i="3"/>
  <c r="Y87" i="3" s="1"/>
  <c r="Z87" i="3" s="1"/>
  <c r="S87" i="3"/>
  <c r="T87" i="3" s="1"/>
  <c r="U87" i="3" s="1"/>
  <c r="N87" i="3"/>
  <c r="O87" i="3" s="1"/>
  <c r="P87" i="3" s="1"/>
  <c r="I87" i="3"/>
  <c r="J87" i="3" s="1"/>
  <c r="K87" i="3" s="1"/>
  <c r="D87" i="3"/>
  <c r="E87" i="3" s="1"/>
  <c r="F87" i="3" s="1"/>
  <c r="AW86" i="3"/>
  <c r="AX86" i="3" s="1"/>
  <c r="AY86" i="3" s="1"/>
  <c r="AR86" i="3"/>
  <c r="AS86" i="3" s="1"/>
  <c r="AT86" i="3" s="1"/>
  <c r="AM86" i="3"/>
  <c r="AN86" i="3" s="1"/>
  <c r="AO86" i="3" s="1"/>
  <c r="AH86" i="3"/>
  <c r="AI86" i="3" s="1"/>
  <c r="AJ86" i="3" s="1"/>
  <c r="AC86" i="3"/>
  <c r="AD86" i="3" s="1"/>
  <c r="AE86" i="3" s="1"/>
  <c r="X86" i="3"/>
  <c r="Y86" i="3" s="1"/>
  <c r="Z86" i="3" s="1"/>
  <c r="S86" i="3"/>
  <c r="T86" i="3" s="1"/>
  <c r="U86" i="3" s="1"/>
  <c r="N86" i="3"/>
  <c r="O86" i="3" s="1"/>
  <c r="P86" i="3" s="1"/>
  <c r="I86" i="3"/>
  <c r="J86" i="3" s="1"/>
  <c r="K86" i="3" s="1"/>
  <c r="D86" i="3"/>
  <c r="E86" i="3" s="1"/>
  <c r="F86" i="3" s="1"/>
  <c r="AW85" i="3"/>
  <c r="AX85" i="3" s="1"/>
  <c r="AY85" i="3" s="1"/>
  <c r="AR85" i="3"/>
  <c r="AS85" i="3" s="1"/>
  <c r="AT85" i="3" s="1"/>
  <c r="AM85" i="3"/>
  <c r="AN85" i="3" s="1"/>
  <c r="AO85" i="3" s="1"/>
  <c r="AH85" i="3"/>
  <c r="AI85" i="3" s="1"/>
  <c r="AJ85" i="3" s="1"/>
  <c r="AC85" i="3"/>
  <c r="AD85" i="3" s="1"/>
  <c r="AE85" i="3" s="1"/>
  <c r="X85" i="3"/>
  <c r="Y85" i="3" s="1"/>
  <c r="Z85" i="3" s="1"/>
  <c r="S85" i="3"/>
  <c r="T85" i="3" s="1"/>
  <c r="U85" i="3" s="1"/>
  <c r="N85" i="3"/>
  <c r="O85" i="3" s="1"/>
  <c r="P85" i="3" s="1"/>
  <c r="I85" i="3"/>
  <c r="J85" i="3" s="1"/>
  <c r="K85" i="3" s="1"/>
  <c r="D85" i="3"/>
  <c r="E85" i="3" s="1"/>
  <c r="F85" i="3" s="1"/>
  <c r="AW84" i="3"/>
  <c r="AX84" i="3" s="1"/>
  <c r="AY84" i="3" s="1"/>
  <c r="AR84" i="3"/>
  <c r="AS84" i="3" s="1"/>
  <c r="AT84" i="3" s="1"/>
  <c r="AM84" i="3"/>
  <c r="AN84" i="3" s="1"/>
  <c r="AO84" i="3" s="1"/>
  <c r="AH84" i="3"/>
  <c r="AI84" i="3" s="1"/>
  <c r="AJ84" i="3" s="1"/>
  <c r="AC84" i="3"/>
  <c r="AD84" i="3" s="1"/>
  <c r="AE84" i="3" s="1"/>
  <c r="Y84" i="3"/>
  <c r="Z84" i="3" s="1"/>
  <c r="X84" i="3"/>
  <c r="S84" i="3"/>
  <c r="T84" i="3" s="1"/>
  <c r="U84" i="3" s="1"/>
  <c r="N84" i="3"/>
  <c r="O84" i="3" s="1"/>
  <c r="P84" i="3" s="1"/>
  <c r="I84" i="3"/>
  <c r="J84" i="3" s="1"/>
  <c r="K84" i="3" s="1"/>
  <c r="D84" i="3"/>
  <c r="E84" i="3" s="1"/>
  <c r="F84" i="3" s="1"/>
  <c r="AW83" i="3"/>
  <c r="AX83" i="3" s="1"/>
  <c r="AY83" i="3" s="1"/>
  <c r="AR83" i="3"/>
  <c r="AS83" i="3" s="1"/>
  <c r="AT83" i="3" s="1"/>
  <c r="AM83" i="3"/>
  <c r="AN83" i="3" s="1"/>
  <c r="AO83" i="3" s="1"/>
  <c r="AH83" i="3"/>
  <c r="AI83" i="3" s="1"/>
  <c r="AJ83" i="3" s="1"/>
  <c r="AC83" i="3"/>
  <c r="AD83" i="3" s="1"/>
  <c r="AE83" i="3" s="1"/>
  <c r="X83" i="3"/>
  <c r="Y83" i="3" s="1"/>
  <c r="Z83" i="3" s="1"/>
  <c r="S83" i="3"/>
  <c r="T83" i="3" s="1"/>
  <c r="U83" i="3" s="1"/>
  <c r="N83" i="3"/>
  <c r="O83" i="3" s="1"/>
  <c r="P83" i="3" s="1"/>
  <c r="I83" i="3"/>
  <c r="J83" i="3" s="1"/>
  <c r="K83" i="3" s="1"/>
  <c r="D83" i="3"/>
  <c r="E83" i="3" s="1"/>
  <c r="F83" i="3" s="1"/>
  <c r="AW82" i="3"/>
  <c r="AX82" i="3" s="1"/>
  <c r="AY82" i="3" s="1"/>
  <c r="AR82" i="3"/>
  <c r="AS82" i="3" s="1"/>
  <c r="AT82" i="3" s="1"/>
  <c r="AM82" i="3"/>
  <c r="AN82" i="3" s="1"/>
  <c r="AO82" i="3" s="1"/>
  <c r="AH82" i="3"/>
  <c r="AI82" i="3" s="1"/>
  <c r="AJ82" i="3" s="1"/>
  <c r="AC82" i="3"/>
  <c r="AD82" i="3" s="1"/>
  <c r="AE82" i="3" s="1"/>
  <c r="X82" i="3"/>
  <c r="Y82" i="3" s="1"/>
  <c r="Z82" i="3" s="1"/>
  <c r="S82" i="3"/>
  <c r="T82" i="3" s="1"/>
  <c r="U82" i="3" s="1"/>
  <c r="N82" i="3"/>
  <c r="O82" i="3" s="1"/>
  <c r="P82" i="3" s="1"/>
  <c r="I82" i="3"/>
  <c r="J82" i="3" s="1"/>
  <c r="K82" i="3" s="1"/>
  <c r="D82" i="3"/>
  <c r="E82" i="3" s="1"/>
  <c r="F82" i="3" s="1"/>
  <c r="AW81" i="3"/>
  <c r="AX81" i="3" s="1"/>
  <c r="AY81" i="3" s="1"/>
  <c r="AR81" i="3"/>
  <c r="AS81" i="3" s="1"/>
  <c r="AT81" i="3" s="1"/>
  <c r="AM81" i="3"/>
  <c r="AN81" i="3" s="1"/>
  <c r="AO81" i="3" s="1"/>
  <c r="AH81" i="3"/>
  <c r="AI81" i="3" s="1"/>
  <c r="AJ81" i="3" s="1"/>
  <c r="AC81" i="3"/>
  <c r="AD81" i="3" s="1"/>
  <c r="AE81" i="3" s="1"/>
  <c r="X81" i="3"/>
  <c r="Y81" i="3" s="1"/>
  <c r="Z81" i="3" s="1"/>
  <c r="S81" i="3"/>
  <c r="T81" i="3" s="1"/>
  <c r="U81" i="3" s="1"/>
  <c r="N81" i="3"/>
  <c r="O81" i="3" s="1"/>
  <c r="P81" i="3" s="1"/>
  <c r="I81" i="3"/>
  <c r="J81" i="3" s="1"/>
  <c r="K81" i="3" s="1"/>
  <c r="D81" i="3"/>
  <c r="E81" i="3" s="1"/>
  <c r="F81" i="3" s="1"/>
  <c r="AW80" i="3"/>
  <c r="AX80" i="3" s="1"/>
  <c r="AY80" i="3" s="1"/>
  <c r="AR80" i="3"/>
  <c r="AS80" i="3" s="1"/>
  <c r="AT80" i="3" s="1"/>
  <c r="AM80" i="3"/>
  <c r="AN80" i="3" s="1"/>
  <c r="AO80" i="3" s="1"/>
  <c r="AH80" i="3"/>
  <c r="AI80" i="3" s="1"/>
  <c r="AJ80" i="3" s="1"/>
  <c r="AC80" i="3"/>
  <c r="AD80" i="3" s="1"/>
  <c r="AE80" i="3" s="1"/>
  <c r="X80" i="3"/>
  <c r="Y80" i="3" s="1"/>
  <c r="Z80" i="3" s="1"/>
  <c r="S80" i="3"/>
  <c r="T80" i="3" s="1"/>
  <c r="U80" i="3" s="1"/>
  <c r="N80" i="3"/>
  <c r="O80" i="3" s="1"/>
  <c r="P80" i="3" s="1"/>
  <c r="I80" i="3"/>
  <c r="J80" i="3" s="1"/>
  <c r="K80" i="3" s="1"/>
  <c r="D80" i="3"/>
  <c r="E80" i="3" s="1"/>
  <c r="F80" i="3" s="1"/>
  <c r="AW79" i="3"/>
  <c r="AX79" i="3" s="1"/>
  <c r="AY79" i="3" s="1"/>
  <c r="AR79" i="3"/>
  <c r="AS79" i="3" s="1"/>
  <c r="AT79" i="3" s="1"/>
  <c r="AM79" i="3"/>
  <c r="AN79" i="3" s="1"/>
  <c r="AO79" i="3" s="1"/>
  <c r="AH79" i="3"/>
  <c r="AI79" i="3" s="1"/>
  <c r="AJ79" i="3" s="1"/>
  <c r="AC79" i="3"/>
  <c r="AD79" i="3" s="1"/>
  <c r="AE79" i="3" s="1"/>
  <c r="X79" i="3"/>
  <c r="Y79" i="3" s="1"/>
  <c r="Z79" i="3" s="1"/>
  <c r="S79" i="3"/>
  <c r="T79" i="3" s="1"/>
  <c r="U79" i="3" s="1"/>
  <c r="N79" i="3"/>
  <c r="O79" i="3" s="1"/>
  <c r="P79" i="3" s="1"/>
  <c r="I79" i="3"/>
  <c r="J79" i="3" s="1"/>
  <c r="K79" i="3" s="1"/>
  <c r="D79" i="3"/>
  <c r="E79" i="3" s="1"/>
  <c r="F79" i="3" s="1"/>
  <c r="AW78" i="3"/>
  <c r="AX78" i="3" s="1"/>
  <c r="AY78" i="3" s="1"/>
  <c r="AR78" i="3"/>
  <c r="AS78" i="3" s="1"/>
  <c r="AT78" i="3" s="1"/>
  <c r="AM78" i="3"/>
  <c r="AN78" i="3" s="1"/>
  <c r="AO78" i="3" s="1"/>
  <c r="AH78" i="3"/>
  <c r="AI78" i="3" s="1"/>
  <c r="AJ78" i="3" s="1"/>
  <c r="AC78" i="3"/>
  <c r="AD78" i="3" s="1"/>
  <c r="AE78" i="3" s="1"/>
  <c r="X78" i="3"/>
  <c r="Y78" i="3" s="1"/>
  <c r="Z78" i="3" s="1"/>
  <c r="S78" i="3"/>
  <c r="T78" i="3" s="1"/>
  <c r="U78" i="3" s="1"/>
  <c r="N78" i="3"/>
  <c r="O78" i="3" s="1"/>
  <c r="P78" i="3" s="1"/>
  <c r="I78" i="3"/>
  <c r="J78" i="3" s="1"/>
  <c r="K78" i="3" s="1"/>
  <c r="D78" i="3"/>
  <c r="E78" i="3" s="1"/>
  <c r="F78" i="3" s="1"/>
  <c r="AW77" i="3"/>
  <c r="AX77" i="3" s="1"/>
  <c r="AY77" i="3" s="1"/>
  <c r="AR77" i="3"/>
  <c r="AS77" i="3" s="1"/>
  <c r="AT77" i="3" s="1"/>
  <c r="AM77" i="3"/>
  <c r="AN77" i="3" s="1"/>
  <c r="AO77" i="3" s="1"/>
  <c r="AH77" i="3"/>
  <c r="AI77" i="3" s="1"/>
  <c r="AJ77" i="3" s="1"/>
  <c r="AC77" i="3"/>
  <c r="AD77" i="3" s="1"/>
  <c r="AE77" i="3" s="1"/>
  <c r="X77" i="3"/>
  <c r="Y77" i="3" s="1"/>
  <c r="Z77" i="3" s="1"/>
  <c r="S77" i="3"/>
  <c r="T77" i="3" s="1"/>
  <c r="U77" i="3" s="1"/>
  <c r="N77" i="3"/>
  <c r="O77" i="3" s="1"/>
  <c r="P77" i="3" s="1"/>
  <c r="I77" i="3"/>
  <c r="J77" i="3" s="1"/>
  <c r="K77" i="3" s="1"/>
  <c r="D77" i="3"/>
  <c r="E77" i="3" s="1"/>
  <c r="F77" i="3" s="1"/>
  <c r="AW76" i="3"/>
  <c r="AX76" i="3" s="1"/>
  <c r="AY76" i="3" s="1"/>
  <c r="AR76" i="3"/>
  <c r="AS76" i="3" s="1"/>
  <c r="AT76" i="3" s="1"/>
  <c r="AM76" i="3"/>
  <c r="AN76" i="3" s="1"/>
  <c r="AO76" i="3" s="1"/>
  <c r="AH76" i="3"/>
  <c r="AI76" i="3" s="1"/>
  <c r="AJ76" i="3" s="1"/>
  <c r="AC76" i="3"/>
  <c r="AD76" i="3" s="1"/>
  <c r="AE76" i="3" s="1"/>
  <c r="X76" i="3"/>
  <c r="Y76" i="3" s="1"/>
  <c r="Z76" i="3" s="1"/>
  <c r="S76" i="3"/>
  <c r="T76" i="3" s="1"/>
  <c r="U76" i="3" s="1"/>
  <c r="N76" i="3"/>
  <c r="O76" i="3" s="1"/>
  <c r="P76" i="3" s="1"/>
  <c r="I76" i="3"/>
  <c r="J76" i="3" s="1"/>
  <c r="K76" i="3" s="1"/>
  <c r="D76" i="3"/>
  <c r="E76" i="3" s="1"/>
  <c r="F76" i="3" s="1"/>
  <c r="AW75" i="3"/>
  <c r="AX75" i="3" s="1"/>
  <c r="AY75" i="3" s="1"/>
  <c r="AR75" i="3"/>
  <c r="AS75" i="3" s="1"/>
  <c r="AT75" i="3" s="1"/>
  <c r="AM75" i="3"/>
  <c r="AN75" i="3" s="1"/>
  <c r="AO75" i="3" s="1"/>
  <c r="AH75" i="3"/>
  <c r="AI75" i="3" s="1"/>
  <c r="AJ75" i="3" s="1"/>
  <c r="AC75" i="3"/>
  <c r="AD75" i="3" s="1"/>
  <c r="AE75" i="3" s="1"/>
  <c r="X75" i="3"/>
  <c r="Y75" i="3" s="1"/>
  <c r="Z75" i="3" s="1"/>
  <c r="S75" i="3"/>
  <c r="T75" i="3" s="1"/>
  <c r="U75" i="3" s="1"/>
  <c r="N75" i="3"/>
  <c r="O75" i="3" s="1"/>
  <c r="P75" i="3" s="1"/>
  <c r="I75" i="3"/>
  <c r="J75" i="3" s="1"/>
  <c r="K75" i="3" s="1"/>
  <c r="D75" i="3"/>
  <c r="E75" i="3" s="1"/>
  <c r="F75" i="3" s="1"/>
  <c r="AW74" i="3"/>
  <c r="AX74" i="3" s="1"/>
  <c r="AY74" i="3" s="1"/>
  <c r="AR74" i="3"/>
  <c r="AS74" i="3" s="1"/>
  <c r="AT74" i="3" s="1"/>
  <c r="AM74" i="3"/>
  <c r="AN74" i="3" s="1"/>
  <c r="AO74" i="3" s="1"/>
  <c r="AH74" i="3"/>
  <c r="AI74" i="3" s="1"/>
  <c r="AJ74" i="3" s="1"/>
  <c r="AC74" i="3"/>
  <c r="AD74" i="3" s="1"/>
  <c r="AE74" i="3" s="1"/>
  <c r="X74" i="3"/>
  <c r="Y74" i="3" s="1"/>
  <c r="Z74" i="3" s="1"/>
  <c r="S74" i="3"/>
  <c r="T74" i="3" s="1"/>
  <c r="U74" i="3" s="1"/>
  <c r="N74" i="3"/>
  <c r="O74" i="3" s="1"/>
  <c r="P74" i="3" s="1"/>
  <c r="I74" i="3"/>
  <c r="J74" i="3" s="1"/>
  <c r="K74" i="3" s="1"/>
  <c r="D74" i="3"/>
  <c r="E74" i="3" s="1"/>
  <c r="F74" i="3" s="1"/>
  <c r="AW73" i="3"/>
  <c r="AX73" i="3" s="1"/>
  <c r="AY73" i="3" s="1"/>
  <c r="AR73" i="3"/>
  <c r="AS73" i="3" s="1"/>
  <c r="AT73" i="3" s="1"/>
  <c r="AM73" i="3"/>
  <c r="AN73" i="3" s="1"/>
  <c r="AO73" i="3" s="1"/>
  <c r="AH73" i="3"/>
  <c r="AI73" i="3" s="1"/>
  <c r="AJ73" i="3" s="1"/>
  <c r="AC73" i="3"/>
  <c r="AD73" i="3" s="1"/>
  <c r="AE73" i="3" s="1"/>
  <c r="X73" i="3"/>
  <c r="Y73" i="3" s="1"/>
  <c r="Z73" i="3" s="1"/>
  <c r="S73" i="3"/>
  <c r="T73" i="3" s="1"/>
  <c r="U73" i="3" s="1"/>
  <c r="N73" i="3"/>
  <c r="O73" i="3" s="1"/>
  <c r="P73" i="3" s="1"/>
  <c r="I73" i="3"/>
  <c r="J73" i="3" s="1"/>
  <c r="K73" i="3" s="1"/>
  <c r="D73" i="3"/>
  <c r="E73" i="3" s="1"/>
  <c r="F73" i="3" s="1"/>
  <c r="AW72" i="3"/>
  <c r="AX72" i="3" s="1"/>
  <c r="AY72" i="3" s="1"/>
  <c r="AR72" i="3"/>
  <c r="AS72" i="3" s="1"/>
  <c r="AT72" i="3" s="1"/>
  <c r="AM72" i="3"/>
  <c r="AN72" i="3" s="1"/>
  <c r="AO72" i="3" s="1"/>
  <c r="AH72" i="3"/>
  <c r="AI72" i="3" s="1"/>
  <c r="AJ72" i="3" s="1"/>
  <c r="AC72" i="3"/>
  <c r="AD72" i="3" s="1"/>
  <c r="AE72" i="3" s="1"/>
  <c r="X72" i="3"/>
  <c r="Y72" i="3" s="1"/>
  <c r="Z72" i="3" s="1"/>
  <c r="S72" i="3"/>
  <c r="T72" i="3" s="1"/>
  <c r="U72" i="3" s="1"/>
  <c r="N72" i="3"/>
  <c r="O72" i="3" s="1"/>
  <c r="P72" i="3" s="1"/>
  <c r="I72" i="3"/>
  <c r="J72" i="3" s="1"/>
  <c r="K72" i="3" s="1"/>
  <c r="D72" i="3"/>
  <c r="E72" i="3" s="1"/>
  <c r="F72" i="3" s="1"/>
  <c r="AW71" i="3"/>
  <c r="AX71" i="3" s="1"/>
  <c r="AY71" i="3" s="1"/>
  <c r="AR71" i="3"/>
  <c r="AS71" i="3" s="1"/>
  <c r="AT71" i="3" s="1"/>
  <c r="AM71" i="3"/>
  <c r="AN71" i="3" s="1"/>
  <c r="AO71" i="3" s="1"/>
  <c r="AH71" i="3"/>
  <c r="AI71" i="3" s="1"/>
  <c r="AJ71" i="3" s="1"/>
  <c r="AC71" i="3"/>
  <c r="AD71" i="3" s="1"/>
  <c r="AE71" i="3" s="1"/>
  <c r="X71" i="3"/>
  <c r="Y71" i="3" s="1"/>
  <c r="Z71" i="3" s="1"/>
  <c r="S71" i="3"/>
  <c r="T71" i="3" s="1"/>
  <c r="U71" i="3" s="1"/>
  <c r="N71" i="3"/>
  <c r="O71" i="3" s="1"/>
  <c r="P71" i="3" s="1"/>
  <c r="I71" i="3"/>
  <c r="J71" i="3" s="1"/>
  <c r="K71" i="3" s="1"/>
  <c r="D71" i="3"/>
  <c r="E71" i="3" s="1"/>
  <c r="F71" i="3" s="1"/>
  <c r="AW70" i="3"/>
  <c r="AX70" i="3" s="1"/>
  <c r="AY70" i="3" s="1"/>
  <c r="AR70" i="3"/>
  <c r="AS70" i="3" s="1"/>
  <c r="AT70" i="3" s="1"/>
  <c r="AM70" i="3"/>
  <c r="AN70" i="3" s="1"/>
  <c r="AO70" i="3" s="1"/>
  <c r="AH70" i="3"/>
  <c r="AI70" i="3" s="1"/>
  <c r="AJ70" i="3" s="1"/>
  <c r="AC70" i="3"/>
  <c r="AD70" i="3" s="1"/>
  <c r="AE70" i="3" s="1"/>
  <c r="X70" i="3"/>
  <c r="Y70" i="3" s="1"/>
  <c r="Z70" i="3" s="1"/>
  <c r="S70" i="3"/>
  <c r="T70" i="3" s="1"/>
  <c r="U70" i="3" s="1"/>
  <c r="N70" i="3"/>
  <c r="O70" i="3" s="1"/>
  <c r="P70" i="3" s="1"/>
  <c r="I70" i="3"/>
  <c r="J70" i="3" s="1"/>
  <c r="K70" i="3" s="1"/>
  <c r="D70" i="3"/>
  <c r="E70" i="3" s="1"/>
  <c r="F70" i="3" s="1"/>
  <c r="AW69" i="3"/>
  <c r="AX69" i="3" s="1"/>
  <c r="AY69" i="3" s="1"/>
  <c r="AR69" i="3"/>
  <c r="AS69" i="3" s="1"/>
  <c r="AT69" i="3" s="1"/>
  <c r="AM69" i="3"/>
  <c r="AN69" i="3" s="1"/>
  <c r="AO69" i="3" s="1"/>
  <c r="AH69" i="3"/>
  <c r="AI69" i="3" s="1"/>
  <c r="AJ69" i="3" s="1"/>
  <c r="AC69" i="3"/>
  <c r="AD69" i="3" s="1"/>
  <c r="AE69" i="3" s="1"/>
  <c r="X69" i="3"/>
  <c r="Y69" i="3" s="1"/>
  <c r="Z69" i="3" s="1"/>
  <c r="S69" i="3"/>
  <c r="T69" i="3" s="1"/>
  <c r="U69" i="3" s="1"/>
  <c r="N69" i="3"/>
  <c r="O69" i="3" s="1"/>
  <c r="P69" i="3" s="1"/>
  <c r="I69" i="3"/>
  <c r="J69" i="3" s="1"/>
  <c r="K69" i="3" s="1"/>
  <c r="D69" i="3"/>
  <c r="E69" i="3" s="1"/>
  <c r="F69" i="3" s="1"/>
  <c r="AW68" i="3"/>
  <c r="AX68" i="3" s="1"/>
  <c r="AY68" i="3" s="1"/>
  <c r="AR68" i="3"/>
  <c r="AS68" i="3" s="1"/>
  <c r="AT68" i="3" s="1"/>
  <c r="AM68" i="3"/>
  <c r="AN68" i="3" s="1"/>
  <c r="AO68" i="3" s="1"/>
  <c r="AH68" i="3"/>
  <c r="AI68" i="3" s="1"/>
  <c r="AJ68" i="3" s="1"/>
  <c r="AC68" i="3"/>
  <c r="AD68" i="3" s="1"/>
  <c r="AE68" i="3" s="1"/>
  <c r="X68" i="3"/>
  <c r="Y68" i="3" s="1"/>
  <c r="Z68" i="3" s="1"/>
  <c r="S68" i="3"/>
  <c r="T68" i="3" s="1"/>
  <c r="U68" i="3" s="1"/>
  <c r="N68" i="3"/>
  <c r="O68" i="3" s="1"/>
  <c r="P68" i="3" s="1"/>
  <c r="I68" i="3"/>
  <c r="J68" i="3" s="1"/>
  <c r="K68" i="3" s="1"/>
  <c r="D68" i="3"/>
  <c r="E68" i="3" s="1"/>
  <c r="F68" i="3" s="1"/>
  <c r="AW67" i="3"/>
  <c r="AX67" i="3" s="1"/>
  <c r="AY67" i="3" s="1"/>
  <c r="AR67" i="3"/>
  <c r="AS67" i="3" s="1"/>
  <c r="AT67" i="3" s="1"/>
  <c r="AM67" i="3"/>
  <c r="AN67" i="3" s="1"/>
  <c r="AO67" i="3" s="1"/>
  <c r="AH67" i="3"/>
  <c r="AI67" i="3" s="1"/>
  <c r="AJ67" i="3" s="1"/>
  <c r="AC67" i="3"/>
  <c r="AD67" i="3" s="1"/>
  <c r="AE67" i="3" s="1"/>
  <c r="X67" i="3"/>
  <c r="Y67" i="3" s="1"/>
  <c r="Z67" i="3" s="1"/>
  <c r="S67" i="3"/>
  <c r="T67" i="3" s="1"/>
  <c r="U67" i="3" s="1"/>
  <c r="N67" i="3"/>
  <c r="O67" i="3" s="1"/>
  <c r="P67" i="3" s="1"/>
  <c r="I67" i="3"/>
  <c r="J67" i="3" s="1"/>
  <c r="K67" i="3" s="1"/>
  <c r="D67" i="3"/>
  <c r="E67" i="3" s="1"/>
  <c r="F67" i="3" s="1"/>
  <c r="AW66" i="3"/>
  <c r="AX66" i="3" s="1"/>
  <c r="AY66" i="3" s="1"/>
  <c r="AR66" i="3"/>
  <c r="AS66" i="3" s="1"/>
  <c r="AT66" i="3" s="1"/>
  <c r="AM66" i="3"/>
  <c r="AN66" i="3" s="1"/>
  <c r="AO66" i="3" s="1"/>
  <c r="AH66" i="3"/>
  <c r="AI66" i="3" s="1"/>
  <c r="AJ66" i="3" s="1"/>
  <c r="AC66" i="3"/>
  <c r="AD66" i="3" s="1"/>
  <c r="AE66" i="3" s="1"/>
  <c r="X66" i="3"/>
  <c r="Y66" i="3" s="1"/>
  <c r="Z66" i="3" s="1"/>
  <c r="S66" i="3"/>
  <c r="T66" i="3" s="1"/>
  <c r="U66" i="3" s="1"/>
  <c r="N66" i="3"/>
  <c r="O66" i="3" s="1"/>
  <c r="P66" i="3" s="1"/>
  <c r="I66" i="3"/>
  <c r="J66" i="3" s="1"/>
  <c r="K66" i="3" s="1"/>
  <c r="D66" i="3"/>
  <c r="E66" i="3" s="1"/>
  <c r="F66" i="3" s="1"/>
  <c r="AW65" i="3"/>
  <c r="AX65" i="3" s="1"/>
  <c r="AY65" i="3" s="1"/>
  <c r="AR65" i="3"/>
  <c r="AS65" i="3" s="1"/>
  <c r="AT65" i="3" s="1"/>
  <c r="AM65" i="3"/>
  <c r="AN65" i="3" s="1"/>
  <c r="AO65" i="3" s="1"/>
  <c r="AH65" i="3"/>
  <c r="AI65" i="3" s="1"/>
  <c r="AJ65" i="3" s="1"/>
  <c r="AC65" i="3"/>
  <c r="AD65" i="3" s="1"/>
  <c r="AE65" i="3" s="1"/>
  <c r="X65" i="3"/>
  <c r="Y65" i="3" s="1"/>
  <c r="Z65" i="3" s="1"/>
  <c r="S65" i="3"/>
  <c r="T65" i="3" s="1"/>
  <c r="U65" i="3" s="1"/>
  <c r="N65" i="3"/>
  <c r="O65" i="3" s="1"/>
  <c r="P65" i="3" s="1"/>
  <c r="I65" i="3"/>
  <c r="J65" i="3" s="1"/>
  <c r="K65" i="3" s="1"/>
  <c r="D65" i="3"/>
  <c r="E65" i="3" s="1"/>
  <c r="F65" i="3" s="1"/>
  <c r="AW64" i="3"/>
  <c r="AX64" i="3" s="1"/>
  <c r="AY64" i="3" s="1"/>
  <c r="AR64" i="3"/>
  <c r="AS64" i="3" s="1"/>
  <c r="AT64" i="3" s="1"/>
  <c r="AM64" i="3"/>
  <c r="AN64" i="3" s="1"/>
  <c r="AO64" i="3" s="1"/>
  <c r="AH64" i="3"/>
  <c r="AI64" i="3" s="1"/>
  <c r="AJ64" i="3" s="1"/>
  <c r="AC64" i="3"/>
  <c r="AD64" i="3" s="1"/>
  <c r="AE64" i="3" s="1"/>
  <c r="X64" i="3"/>
  <c r="Y64" i="3" s="1"/>
  <c r="Z64" i="3" s="1"/>
  <c r="S64" i="3"/>
  <c r="T64" i="3" s="1"/>
  <c r="U64" i="3" s="1"/>
  <c r="N64" i="3"/>
  <c r="O64" i="3" s="1"/>
  <c r="P64" i="3" s="1"/>
  <c r="I64" i="3"/>
  <c r="J64" i="3" s="1"/>
  <c r="K64" i="3" s="1"/>
  <c r="D64" i="3"/>
  <c r="E64" i="3" s="1"/>
  <c r="F64" i="3" s="1"/>
  <c r="AW63" i="3"/>
  <c r="AX63" i="3" s="1"/>
  <c r="AY63" i="3" s="1"/>
  <c r="AR63" i="3"/>
  <c r="AS63" i="3" s="1"/>
  <c r="AT63" i="3" s="1"/>
  <c r="AM63" i="3"/>
  <c r="AN63" i="3" s="1"/>
  <c r="AO63" i="3" s="1"/>
  <c r="AH63" i="3"/>
  <c r="AI63" i="3" s="1"/>
  <c r="AJ63" i="3" s="1"/>
  <c r="AC63" i="3"/>
  <c r="AD63" i="3" s="1"/>
  <c r="AE63" i="3" s="1"/>
  <c r="X63" i="3"/>
  <c r="Y63" i="3" s="1"/>
  <c r="Z63" i="3" s="1"/>
  <c r="S63" i="3"/>
  <c r="T63" i="3" s="1"/>
  <c r="U63" i="3" s="1"/>
  <c r="N63" i="3"/>
  <c r="O63" i="3" s="1"/>
  <c r="P63" i="3" s="1"/>
  <c r="I63" i="3"/>
  <c r="J63" i="3" s="1"/>
  <c r="K63" i="3" s="1"/>
  <c r="D63" i="3"/>
  <c r="E63" i="3" s="1"/>
  <c r="F63" i="3" s="1"/>
  <c r="AW62" i="3"/>
  <c r="AX62" i="3" s="1"/>
  <c r="AY62" i="3" s="1"/>
  <c r="AR62" i="3"/>
  <c r="AS62" i="3" s="1"/>
  <c r="AT62" i="3" s="1"/>
  <c r="AM62" i="3"/>
  <c r="AN62" i="3" s="1"/>
  <c r="AO62" i="3" s="1"/>
  <c r="AH62" i="3"/>
  <c r="AI62" i="3" s="1"/>
  <c r="AJ62" i="3" s="1"/>
  <c r="AC62" i="3"/>
  <c r="AD62" i="3" s="1"/>
  <c r="AE62" i="3" s="1"/>
  <c r="X62" i="3"/>
  <c r="Y62" i="3" s="1"/>
  <c r="Z62" i="3" s="1"/>
  <c r="S62" i="3"/>
  <c r="T62" i="3" s="1"/>
  <c r="U62" i="3" s="1"/>
  <c r="N62" i="3"/>
  <c r="O62" i="3" s="1"/>
  <c r="P62" i="3" s="1"/>
  <c r="I62" i="3"/>
  <c r="J62" i="3" s="1"/>
  <c r="K62" i="3" s="1"/>
  <c r="D62" i="3"/>
  <c r="E62" i="3" s="1"/>
  <c r="F62" i="3" s="1"/>
  <c r="AW61" i="3"/>
  <c r="AX61" i="3" s="1"/>
  <c r="AY61" i="3" s="1"/>
  <c r="AR61" i="3"/>
  <c r="AS61" i="3" s="1"/>
  <c r="AT61" i="3" s="1"/>
  <c r="AM61" i="3"/>
  <c r="AN61" i="3" s="1"/>
  <c r="AO61" i="3" s="1"/>
  <c r="AH61" i="3"/>
  <c r="AI61" i="3" s="1"/>
  <c r="AJ61" i="3" s="1"/>
  <c r="AC61" i="3"/>
  <c r="AD61" i="3" s="1"/>
  <c r="AE61" i="3" s="1"/>
  <c r="X61" i="3"/>
  <c r="Y61" i="3" s="1"/>
  <c r="Z61" i="3" s="1"/>
  <c r="S61" i="3"/>
  <c r="T61" i="3" s="1"/>
  <c r="U61" i="3" s="1"/>
  <c r="N61" i="3"/>
  <c r="O61" i="3" s="1"/>
  <c r="P61" i="3" s="1"/>
  <c r="I61" i="3"/>
  <c r="J61" i="3" s="1"/>
  <c r="K61" i="3" s="1"/>
  <c r="D61" i="3"/>
  <c r="E61" i="3" s="1"/>
  <c r="F61" i="3" s="1"/>
  <c r="AW60" i="3"/>
  <c r="AX60" i="3" s="1"/>
  <c r="AY60" i="3" s="1"/>
  <c r="AR60" i="3"/>
  <c r="AS60" i="3" s="1"/>
  <c r="AT60" i="3" s="1"/>
  <c r="AM60" i="3"/>
  <c r="AN60" i="3" s="1"/>
  <c r="AO60" i="3" s="1"/>
  <c r="AH60" i="3"/>
  <c r="AI60" i="3" s="1"/>
  <c r="AJ60" i="3" s="1"/>
  <c r="AC60" i="3"/>
  <c r="AD60" i="3" s="1"/>
  <c r="AE60" i="3" s="1"/>
  <c r="X60" i="3"/>
  <c r="Y60" i="3" s="1"/>
  <c r="Z60" i="3" s="1"/>
  <c r="S60" i="3"/>
  <c r="T60" i="3" s="1"/>
  <c r="U60" i="3" s="1"/>
  <c r="N60" i="3"/>
  <c r="O60" i="3" s="1"/>
  <c r="P60" i="3" s="1"/>
  <c r="I60" i="3"/>
  <c r="J60" i="3" s="1"/>
  <c r="K60" i="3" s="1"/>
  <c r="D60" i="3"/>
  <c r="E60" i="3" s="1"/>
  <c r="F60" i="3" s="1"/>
  <c r="AW59" i="3"/>
  <c r="AX59" i="3" s="1"/>
  <c r="AY59" i="3" s="1"/>
  <c r="AR59" i="3"/>
  <c r="AS59" i="3" s="1"/>
  <c r="AT59" i="3" s="1"/>
  <c r="AM59" i="3"/>
  <c r="AN59" i="3" s="1"/>
  <c r="AO59" i="3" s="1"/>
  <c r="AH59" i="3"/>
  <c r="AI59" i="3" s="1"/>
  <c r="AJ59" i="3" s="1"/>
  <c r="AC59" i="3"/>
  <c r="AD59" i="3" s="1"/>
  <c r="AE59" i="3" s="1"/>
  <c r="X59" i="3"/>
  <c r="Y59" i="3" s="1"/>
  <c r="Z59" i="3" s="1"/>
  <c r="S59" i="3"/>
  <c r="T59" i="3" s="1"/>
  <c r="U59" i="3" s="1"/>
  <c r="N59" i="3"/>
  <c r="O59" i="3" s="1"/>
  <c r="P59" i="3" s="1"/>
  <c r="I59" i="3"/>
  <c r="J59" i="3" s="1"/>
  <c r="K59" i="3" s="1"/>
  <c r="D59" i="3"/>
  <c r="E59" i="3" s="1"/>
  <c r="F59" i="3" s="1"/>
  <c r="AW58" i="3"/>
  <c r="AX58" i="3" s="1"/>
  <c r="AY58" i="3" s="1"/>
  <c r="AR58" i="3"/>
  <c r="AS58" i="3" s="1"/>
  <c r="AT58" i="3" s="1"/>
  <c r="AM58" i="3"/>
  <c r="AN58" i="3" s="1"/>
  <c r="AO58" i="3" s="1"/>
  <c r="AH58" i="3"/>
  <c r="AI58" i="3" s="1"/>
  <c r="AJ58" i="3" s="1"/>
  <c r="AC58" i="3"/>
  <c r="AD58" i="3" s="1"/>
  <c r="AE58" i="3" s="1"/>
  <c r="X58" i="3"/>
  <c r="Y58" i="3" s="1"/>
  <c r="Z58" i="3" s="1"/>
  <c r="S58" i="3"/>
  <c r="T58" i="3" s="1"/>
  <c r="U58" i="3" s="1"/>
  <c r="N58" i="3"/>
  <c r="O58" i="3" s="1"/>
  <c r="P58" i="3" s="1"/>
  <c r="I58" i="3"/>
  <c r="J58" i="3" s="1"/>
  <c r="K58" i="3" s="1"/>
  <c r="D58" i="3"/>
  <c r="E58" i="3" s="1"/>
  <c r="F58" i="3" s="1"/>
  <c r="AW57" i="3"/>
  <c r="AX57" i="3" s="1"/>
  <c r="AY57" i="3" s="1"/>
  <c r="AR57" i="3"/>
  <c r="AS57" i="3" s="1"/>
  <c r="AT57" i="3" s="1"/>
  <c r="AM57" i="3"/>
  <c r="AN57" i="3" s="1"/>
  <c r="AO57" i="3" s="1"/>
  <c r="AH57" i="3"/>
  <c r="AI57" i="3" s="1"/>
  <c r="AJ57" i="3" s="1"/>
  <c r="AC57" i="3"/>
  <c r="AD57" i="3" s="1"/>
  <c r="AE57" i="3" s="1"/>
  <c r="X57" i="3"/>
  <c r="Y57" i="3" s="1"/>
  <c r="Z57" i="3" s="1"/>
  <c r="S57" i="3"/>
  <c r="T57" i="3" s="1"/>
  <c r="U57" i="3" s="1"/>
  <c r="N57" i="3"/>
  <c r="O57" i="3" s="1"/>
  <c r="P57" i="3" s="1"/>
  <c r="I57" i="3"/>
  <c r="J57" i="3" s="1"/>
  <c r="K57" i="3" s="1"/>
  <c r="D57" i="3"/>
  <c r="E57" i="3" s="1"/>
  <c r="F57" i="3" s="1"/>
  <c r="AW56" i="3"/>
  <c r="AX56" i="3" s="1"/>
  <c r="AY56" i="3" s="1"/>
  <c r="AR56" i="3"/>
  <c r="AS56" i="3" s="1"/>
  <c r="AT56" i="3" s="1"/>
  <c r="AM56" i="3"/>
  <c r="AN56" i="3" s="1"/>
  <c r="AO56" i="3" s="1"/>
  <c r="AH56" i="3"/>
  <c r="AI56" i="3" s="1"/>
  <c r="AJ56" i="3" s="1"/>
  <c r="AC56" i="3"/>
  <c r="AD56" i="3" s="1"/>
  <c r="AE56" i="3" s="1"/>
  <c r="X56" i="3"/>
  <c r="Y56" i="3" s="1"/>
  <c r="Z56" i="3" s="1"/>
  <c r="S56" i="3"/>
  <c r="T56" i="3" s="1"/>
  <c r="U56" i="3" s="1"/>
  <c r="N56" i="3"/>
  <c r="O56" i="3" s="1"/>
  <c r="P56" i="3" s="1"/>
  <c r="I56" i="3"/>
  <c r="J56" i="3" s="1"/>
  <c r="K56" i="3" s="1"/>
  <c r="D56" i="3"/>
  <c r="E56" i="3" s="1"/>
  <c r="F56" i="3" s="1"/>
  <c r="AW55" i="3"/>
  <c r="AX55" i="3" s="1"/>
  <c r="AY55" i="3" s="1"/>
  <c r="AR55" i="3"/>
  <c r="AS55" i="3" s="1"/>
  <c r="AT55" i="3" s="1"/>
  <c r="AM55" i="3"/>
  <c r="AN55" i="3" s="1"/>
  <c r="AO55" i="3" s="1"/>
  <c r="AH55" i="3"/>
  <c r="AI55" i="3" s="1"/>
  <c r="AJ55" i="3" s="1"/>
  <c r="AC55" i="3"/>
  <c r="AD55" i="3" s="1"/>
  <c r="AE55" i="3" s="1"/>
  <c r="X55" i="3"/>
  <c r="Y55" i="3" s="1"/>
  <c r="Z55" i="3" s="1"/>
  <c r="S55" i="3"/>
  <c r="T55" i="3" s="1"/>
  <c r="U55" i="3" s="1"/>
  <c r="N55" i="3"/>
  <c r="O55" i="3" s="1"/>
  <c r="P55" i="3" s="1"/>
  <c r="I55" i="3"/>
  <c r="J55" i="3" s="1"/>
  <c r="K55" i="3" s="1"/>
  <c r="D55" i="3"/>
  <c r="E55" i="3" s="1"/>
  <c r="F55" i="3" s="1"/>
  <c r="AW54" i="3"/>
  <c r="AX54" i="3" s="1"/>
  <c r="AY54" i="3" s="1"/>
  <c r="AR54" i="3"/>
  <c r="AS54" i="3" s="1"/>
  <c r="AT54" i="3" s="1"/>
  <c r="AM54" i="3"/>
  <c r="AN54" i="3" s="1"/>
  <c r="AO54" i="3" s="1"/>
  <c r="AH54" i="3"/>
  <c r="AI54" i="3" s="1"/>
  <c r="AJ54" i="3" s="1"/>
  <c r="AC54" i="3"/>
  <c r="AD54" i="3" s="1"/>
  <c r="AE54" i="3" s="1"/>
  <c r="X54" i="3"/>
  <c r="Y54" i="3" s="1"/>
  <c r="Z54" i="3" s="1"/>
  <c r="S54" i="3"/>
  <c r="T54" i="3" s="1"/>
  <c r="U54" i="3" s="1"/>
  <c r="N54" i="3"/>
  <c r="O54" i="3" s="1"/>
  <c r="P54" i="3" s="1"/>
  <c r="I54" i="3"/>
  <c r="J54" i="3" s="1"/>
  <c r="K54" i="3" s="1"/>
  <c r="D54" i="3"/>
  <c r="E54" i="3" s="1"/>
  <c r="F54" i="3" s="1"/>
  <c r="AW53" i="3"/>
  <c r="AX53" i="3" s="1"/>
  <c r="AY53" i="3" s="1"/>
  <c r="AR53" i="3"/>
  <c r="AS53" i="3" s="1"/>
  <c r="AT53" i="3" s="1"/>
  <c r="AM53" i="3"/>
  <c r="AN53" i="3" s="1"/>
  <c r="AO53" i="3" s="1"/>
  <c r="AH53" i="3"/>
  <c r="AI53" i="3" s="1"/>
  <c r="AJ53" i="3" s="1"/>
  <c r="AC53" i="3"/>
  <c r="AD53" i="3" s="1"/>
  <c r="AE53" i="3" s="1"/>
  <c r="X53" i="3"/>
  <c r="Y53" i="3" s="1"/>
  <c r="Z53" i="3" s="1"/>
  <c r="S53" i="3"/>
  <c r="T53" i="3" s="1"/>
  <c r="U53" i="3" s="1"/>
  <c r="N53" i="3"/>
  <c r="O53" i="3" s="1"/>
  <c r="P53" i="3" s="1"/>
  <c r="I53" i="3"/>
  <c r="J53" i="3" s="1"/>
  <c r="K53" i="3" s="1"/>
  <c r="D53" i="3"/>
  <c r="E53" i="3" s="1"/>
  <c r="F53" i="3" s="1"/>
  <c r="AW52" i="3"/>
  <c r="AX52" i="3" s="1"/>
  <c r="AY52" i="3" s="1"/>
  <c r="AR52" i="3"/>
  <c r="AS52" i="3" s="1"/>
  <c r="AT52" i="3" s="1"/>
  <c r="AM52" i="3"/>
  <c r="AN52" i="3" s="1"/>
  <c r="AO52" i="3" s="1"/>
  <c r="AH52" i="3"/>
  <c r="AI52" i="3" s="1"/>
  <c r="AJ52" i="3" s="1"/>
  <c r="AC52" i="3"/>
  <c r="AD52" i="3" s="1"/>
  <c r="AE52" i="3" s="1"/>
  <c r="X52" i="3"/>
  <c r="Y52" i="3" s="1"/>
  <c r="Z52" i="3" s="1"/>
  <c r="S52" i="3"/>
  <c r="T52" i="3" s="1"/>
  <c r="U52" i="3" s="1"/>
  <c r="N52" i="3"/>
  <c r="O52" i="3" s="1"/>
  <c r="P52" i="3" s="1"/>
  <c r="I52" i="3"/>
  <c r="J52" i="3" s="1"/>
  <c r="K52" i="3" s="1"/>
  <c r="D52" i="3"/>
  <c r="E52" i="3" s="1"/>
  <c r="F52" i="3" s="1"/>
  <c r="AW51" i="3"/>
  <c r="AX51" i="3" s="1"/>
  <c r="AY51" i="3" s="1"/>
  <c r="AR51" i="3"/>
  <c r="AS51" i="3" s="1"/>
  <c r="AT51" i="3" s="1"/>
  <c r="AM51" i="3"/>
  <c r="AN51" i="3" s="1"/>
  <c r="AO51" i="3" s="1"/>
  <c r="AH51" i="3"/>
  <c r="AI51" i="3" s="1"/>
  <c r="AJ51" i="3" s="1"/>
  <c r="AC51" i="3"/>
  <c r="AD51" i="3" s="1"/>
  <c r="AE51" i="3" s="1"/>
  <c r="X51" i="3"/>
  <c r="Y51" i="3" s="1"/>
  <c r="Z51" i="3" s="1"/>
  <c r="S51" i="3"/>
  <c r="T51" i="3" s="1"/>
  <c r="U51" i="3" s="1"/>
  <c r="N51" i="3"/>
  <c r="O51" i="3" s="1"/>
  <c r="P51" i="3" s="1"/>
  <c r="I51" i="3"/>
  <c r="J51" i="3" s="1"/>
  <c r="K51" i="3" s="1"/>
  <c r="D51" i="3"/>
  <c r="E51" i="3" s="1"/>
  <c r="F51" i="3" s="1"/>
  <c r="AW50" i="3"/>
  <c r="AX50" i="3" s="1"/>
  <c r="AY50" i="3" s="1"/>
  <c r="AR50" i="3"/>
  <c r="AS50" i="3" s="1"/>
  <c r="AT50" i="3" s="1"/>
  <c r="AM50" i="3"/>
  <c r="AN50" i="3" s="1"/>
  <c r="AO50" i="3" s="1"/>
  <c r="AH50" i="3"/>
  <c r="AI50" i="3" s="1"/>
  <c r="AJ50" i="3" s="1"/>
  <c r="AC50" i="3"/>
  <c r="AD50" i="3" s="1"/>
  <c r="AE50" i="3" s="1"/>
  <c r="X50" i="3"/>
  <c r="Y50" i="3" s="1"/>
  <c r="Z50" i="3" s="1"/>
  <c r="S50" i="3"/>
  <c r="T50" i="3" s="1"/>
  <c r="U50" i="3" s="1"/>
  <c r="N50" i="3"/>
  <c r="O50" i="3" s="1"/>
  <c r="P50" i="3" s="1"/>
  <c r="I50" i="3"/>
  <c r="J50" i="3" s="1"/>
  <c r="K50" i="3" s="1"/>
  <c r="D50" i="3"/>
  <c r="E50" i="3" s="1"/>
  <c r="F50" i="3" s="1"/>
  <c r="AW49" i="3"/>
  <c r="AX49" i="3" s="1"/>
  <c r="AY49" i="3" s="1"/>
  <c r="AR49" i="3"/>
  <c r="AS49" i="3" s="1"/>
  <c r="AT49" i="3" s="1"/>
  <c r="AM49" i="3"/>
  <c r="AN49" i="3" s="1"/>
  <c r="AO49" i="3" s="1"/>
  <c r="AH49" i="3"/>
  <c r="AI49" i="3" s="1"/>
  <c r="AJ49" i="3" s="1"/>
  <c r="AC49" i="3"/>
  <c r="AD49" i="3" s="1"/>
  <c r="AE49" i="3" s="1"/>
  <c r="X49" i="3"/>
  <c r="Y49" i="3" s="1"/>
  <c r="Z49" i="3" s="1"/>
  <c r="S49" i="3"/>
  <c r="T49" i="3" s="1"/>
  <c r="U49" i="3" s="1"/>
  <c r="N49" i="3"/>
  <c r="O49" i="3" s="1"/>
  <c r="P49" i="3" s="1"/>
  <c r="I49" i="3"/>
  <c r="J49" i="3" s="1"/>
  <c r="K49" i="3" s="1"/>
  <c r="D49" i="3"/>
  <c r="E49" i="3" s="1"/>
  <c r="F49" i="3" s="1"/>
  <c r="AW48" i="3"/>
  <c r="AX48" i="3" s="1"/>
  <c r="AY48" i="3" s="1"/>
  <c r="AR48" i="3"/>
  <c r="AS48" i="3" s="1"/>
  <c r="AT48" i="3" s="1"/>
  <c r="AM48" i="3"/>
  <c r="AN48" i="3" s="1"/>
  <c r="AO48" i="3" s="1"/>
  <c r="AH48" i="3"/>
  <c r="AI48" i="3" s="1"/>
  <c r="AJ48" i="3" s="1"/>
  <c r="AC48" i="3"/>
  <c r="AD48" i="3" s="1"/>
  <c r="AE48" i="3" s="1"/>
  <c r="X48" i="3"/>
  <c r="Y48" i="3" s="1"/>
  <c r="Z48" i="3" s="1"/>
  <c r="S48" i="3"/>
  <c r="T48" i="3" s="1"/>
  <c r="U48" i="3" s="1"/>
  <c r="N48" i="3"/>
  <c r="O48" i="3" s="1"/>
  <c r="P48" i="3" s="1"/>
  <c r="I48" i="3"/>
  <c r="J48" i="3" s="1"/>
  <c r="K48" i="3" s="1"/>
  <c r="D48" i="3"/>
  <c r="E48" i="3" s="1"/>
  <c r="F48" i="3" s="1"/>
  <c r="AW47" i="3"/>
  <c r="AX47" i="3" s="1"/>
  <c r="AY47" i="3" s="1"/>
  <c r="AR47" i="3"/>
  <c r="AS47" i="3" s="1"/>
  <c r="AT47" i="3" s="1"/>
  <c r="AM47" i="3"/>
  <c r="AN47" i="3" s="1"/>
  <c r="AO47" i="3" s="1"/>
  <c r="AH47" i="3"/>
  <c r="AI47" i="3" s="1"/>
  <c r="AJ47" i="3" s="1"/>
  <c r="AC47" i="3"/>
  <c r="AD47" i="3" s="1"/>
  <c r="AE47" i="3" s="1"/>
  <c r="X47" i="3"/>
  <c r="Y47" i="3" s="1"/>
  <c r="Z47" i="3" s="1"/>
  <c r="S47" i="3"/>
  <c r="T47" i="3" s="1"/>
  <c r="U47" i="3" s="1"/>
  <c r="N47" i="3"/>
  <c r="O47" i="3" s="1"/>
  <c r="P47" i="3" s="1"/>
  <c r="I47" i="3"/>
  <c r="J47" i="3" s="1"/>
  <c r="K47" i="3" s="1"/>
  <c r="D47" i="3"/>
  <c r="E47" i="3" s="1"/>
  <c r="F47" i="3" s="1"/>
  <c r="AW46" i="3"/>
  <c r="AX46" i="3" s="1"/>
  <c r="AY46" i="3" s="1"/>
  <c r="AR46" i="3"/>
  <c r="AS46" i="3" s="1"/>
  <c r="AT46" i="3" s="1"/>
  <c r="AM46" i="3"/>
  <c r="AN46" i="3" s="1"/>
  <c r="AO46" i="3" s="1"/>
  <c r="AH46" i="3"/>
  <c r="AI46" i="3" s="1"/>
  <c r="AJ46" i="3" s="1"/>
  <c r="AC46" i="3"/>
  <c r="AD46" i="3" s="1"/>
  <c r="AE46" i="3" s="1"/>
  <c r="X46" i="3"/>
  <c r="Y46" i="3" s="1"/>
  <c r="Z46" i="3" s="1"/>
  <c r="S46" i="3"/>
  <c r="T46" i="3" s="1"/>
  <c r="U46" i="3" s="1"/>
  <c r="N46" i="3"/>
  <c r="O46" i="3" s="1"/>
  <c r="P46" i="3" s="1"/>
  <c r="I46" i="3"/>
  <c r="J46" i="3" s="1"/>
  <c r="K46" i="3" s="1"/>
  <c r="D46" i="3"/>
  <c r="E46" i="3" s="1"/>
  <c r="F46" i="3" s="1"/>
  <c r="AW45" i="3"/>
  <c r="AX45" i="3" s="1"/>
  <c r="AY45" i="3" s="1"/>
  <c r="AR45" i="3"/>
  <c r="AS45" i="3" s="1"/>
  <c r="AT45" i="3" s="1"/>
  <c r="AM45" i="3"/>
  <c r="AN45" i="3" s="1"/>
  <c r="AO45" i="3" s="1"/>
  <c r="AH45" i="3"/>
  <c r="AI45" i="3" s="1"/>
  <c r="AJ45" i="3" s="1"/>
  <c r="AC45" i="3"/>
  <c r="AD45" i="3" s="1"/>
  <c r="AE45" i="3" s="1"/>
  <c r="X45" i="3"/>
  <c r="Y45" i="3" s="1"/>
  <c r="Z45" i="3" s="1"/>
  <c r="S45" i="3"/>
  <c r="T45" i="3" s="1"/>
  <c r="U45" i="3" s="1"/>
  <c r="N45" i="3"/>
  <c r="O45" i="3" s="1"/>
  <c r="P45" i="3" s="1"/>
  <c r="I45" i="3"/>
  <c r="J45" i="3" s="1"/>
  <c r="K45" i="3" s="1"/>
  <c r="D45" i="3"/>
  <c r="E45" i="3" s="1"/>
  <c r="F45" i="3" s="1"/>
  <c r="AW44" i="3"/>
  <c r="AX44" i="3" s="1"/>
  <c r="AY44" i="3" s="1"/>
  <c r="AR44" i="3"/>
  <c r="AS44" i="3" s="1"/>
  <c r="AT44" i="3" s="1"/>
  <c r="AM44" i="3"/>
  <c r="AN44" i="3" s="1"/>
  <c r="AO44" i="3" s="1"/>
  <c r="AH44" i="3"/>
  <c r="AI44" i="3" s="1"/>
  <c r="AJ44" i="3" s="1"/>
  <c r="AC44" i="3"/>
  <c r="AD44" i="3" s="1"/>
  <c r="AE44" i="3" s="1"/>
  <c r="X44" i="3"/>
  <c r="Y44" i="3" s="1"/>
  <c r="Z44" i="3" s="1"/>
  <c r="S44" i="3"/>
  <c r="T44" i="3" s="1"/>
  <c r="U44" i="3" s="1"/>
  <c r="N44" i="3"/>
  <c r="O44" i="3" s="1"/>
  <c r="P44" i="3" s="1"/>
  <c r="I44" i="3"/>
  <c r="J44" i="3" s="1"/>
  <c r="K44" i="3" s="1"/>
  <c r="D44" i="3"/>
  <c r="E44" i="3" s="1"/>
  <c r="F44" i="3" s="1"/>
  <c r="AW43" i="3"/>
  <c r="AX43" i="3" s="1"/>
  <c r="AY43" i="3" s="1"/>
  <c r="AR43" i="3"/>
  <c r="AS43" i="3" s="1"/>
  <c r="AT43" i="3" s="1"/>
  <c r="AM43" i="3"/>
  <c r="AN43" i="3" s="1"/>
  <c r="AO43" i="3" s="1"/>
  <c r="AH43" i="3"/>
  <c r="AI43" i="3" s="1"/>
  <c r="AJ43" i="3" s="1"/>
  <c r="AC43" i="3"/>
  <c r="AD43" i="3" s="1"/>
  <c r="AE43" i="3" s="1"/>
  <c r="X43" i="3"/>
  <c r="Y43" i="3" s="1"/>
  <c r="Z43" i="3" s="1"/>
  <c r="S43" i="3"/>
  <c r="T43" i="3" s="1"/>
  <c r="U43" i="3" s="1"/>
  <c r="N43" i="3"/>
  <c r="O43" i="3" s="1"/>
  <c r="P43" i="3" s="1"/>
  <c r="I43" i="3"/>
  <c r="J43" i="3" s="1"/>
  <c r="K43" i="3" s="1"/>
  <c r="D43" i="3"/>
  <c r="E43" i="3" s="1"/>
  <c r="F43" i="3" s="1"/>
  <c r="AW42" i="3"/>
  <c r="AX42" i="3" s="1"/>
  <c r="AY42" i="3" s="1"/>
  <c r="AR42" i="3"/>
  <c r="AS42" i="3" s="1"/>
  <c r="AT42" i="3" s="1"/>
  <c r="AM42" i="3"/>
  <c r="AN42" i="3" s="1"/>
  <c r="AO42" i="3" s="1"/>
  <c r="AH42" i="3"/>
  <c r="AI42" i="3" s="1"/>
  <c r="AJ42" i="3" s="1"/>
  <c r="AC42" i="3"/>
  <c r="AD42" i="3" s="1"/>
  <c r="AE42" i="3" s="1"/>
  <c r="X42" i="3"/>
  <c r="Y42" i="3" s="1"/>
  <c r="Z42" i="3" s="1"/>
  <c r="S42" i="3"/>
  <c r="T42" i="3" s="1"/>
  <c r="U42" i="3" s="1"/>
  <c r="N42" i="3"/>
  <c r="O42" i="3" s="1"/>
  <c r="P42" i="3" s="1"/>
  <c r="I42" i="3"/>
  <c r="J42" i="3" s="1"/>
  <c r="K42" i="3" s="1"/>
  <c r="D42" i="3"/>
  <c r="E42" i="3" s="1"/>
  <c r="F42" i="3" s="1"/>
  <c r="AW41" i="3"/>
  <c r="AX41" i="3" s="1"/>
  <c r="AY41" i="3" s="1"/>
  <c r="AR41" i="3"/>
  <c r="AS41" i="3" s="1"/>
  <c r="AT41" i="3" s="1"/>
  <c r="AM41" i="3"/>
  <c r="AN41" i="3" s="1"/>
  <c r="AO41" i="3" s="1"/>
  <c r="AH41" i="3"/>
  <c r="AI41" i="3" s="1"/>
  <c r="AJ41" i="3" s="1"/>
  <c r="AC41" i="3"/>
  <c r="AD41" i="3" s="1"/>
  <c r="AE41" i="3" s="1"/>
  <c r="X41" i="3"/>
  <c r="Y41" i="3" s="1"/>
  <c r="Z41" i="3" s="1"/>
  <c r="S41" i="3"/>
  <c r="T41" i="3" s="1"/>
  <c r="U41" i="3" s="1"/>
  <c r="N41" i="3"/>
  <c r="O41" i="3" s="1"/>
  <c r="P41" i="3" s="1"/>
  <c r="I41" i="3"/>
  <c r="J41" i="3" s="1"/>
  <c r="K41" i="3" s="1"/>
  <c r="D41" i="3"/>
  <c r="E41" i="3" s="1"/>
  <c r="F41" i="3" s="1"/>
  <c r="AW40" i="3"/>
  <c r="AX40" i="3" s="1"/>
  <c r="AY40" i="3" s="1"/>
  <c r="AR40" i="3"/>
  <c r="AS40" i="3" s="1"/>
  <c r="AT40" i="3" s="1"/>
  <c r="AM40" i="3"/>
  <c r="AN40" i="3" s="1"/>
  <c r="AO40" i="3" s="1"/>
  <c r="AH40" i="3"/>
  <c r="AI40" i="3" s="1"/>
  <c r="AJ40" i="3" s="1"/>
  <c r="AC40" i="3"/>
  <c r="AD40" i="3" s="1"/>
  <c r="AE40" i="3" s="1"/>
  <c r="X40" i="3"/>
  <c r="Y40" i="3" s="1"/>
  <c r="Z40" i="3" s="1"/>
  <c r="S40" i="3"/>
  <c r="T40" i="3" s="1"/>
  <c r="U40" i="3" s="1"/>
  <c r="N40" i="3"/>
  <c r="O40" i="3" s="1"/>
  <c r="P40" i="3" s="1"/>
  <c r="I40" i="3"/>
  <c r="J40" i="3" s="1"/>
  <c r="K40" i="3" s="1"/>
  <c r="D40" i="3"/>
  <c r="E40" i="3" s="1"/>
  <c r="F40" i="3" s="1"/>
  <c r="AW39" i="3"/>
  <c r="AX39" i="3" s="1"/>
  <c r="AY39" i="3" s="1"/>
  <c r="AR39" i="3"/>
  <c r="AS39" i="3" s="1"/>
  <c r="AT39" i="3" s="1"/>
  <c r="AM39" i="3"/>
  <c r="AN39" i="3" s="1"/>
  <c r="AO39" i="3" s="1"/>
  <c r="AH39" i="3"/>
  <c r="AI39" i="3" s="1"/>
  <c r="AJ39" i="3" s="1"/>
  <c r="AC39" i="3"/>
  <c r="AD39" i="3" s="1"/>
  <c r="AE39" i="3" s="1"/>
  <c r="X39" i="3"/>
  <c r="Y39" i="3" s="1"/>
  <c r="Z39" i="3" s="1"/>
  <c r="S39" i="3"/>
  <c r="T39" i="3" s="1"/>
  <c r="U39" i="3" s="1"/>
  <c r="N39" i="3"/>
  <c r="O39" i="3" s="1"/>
  <c r="P39" i="3" s="1"/>
  <c r="I39" i="3"/>
  <c r="J39" i="3" s="1"/>
  <c r="K39" i="3" s="1"/>
  <c r="D39" i="3"/>
  <c r="E39" i="3" s="1"/>
  <c r="F39" i="3" s="1"/>
  <c r="AW38" i="3"/>
  <c r="AX38" i="3" s="1"/>
  <c r="AY38" i="3" s="1"/>
  <c r="AR38" i="3"/>
  <c r="AS38" i="3" s="1"/>
  <c r="AT38" i="3" s="1"/>
  <c r="AM38" i="3"/>
  <c r="AN38" i="3" s="1"/>
  <c r="AO38" i="3" s="1"/>
  <c r="AH38" i="3"/>
  <c r="AI38" i="3" s="1"/>
  <c r="AJ38" i="3" s="1"/>
  <c r="AC38" i="3"/>
  <c r="AD38" i="3" s="1"/>
  <c r="AE38" i="3" s="1"/>
  <c r="X38" i="3"/>
  <c r="Y38" i="3" s="1"/>
  <c r="Z38" i="3" s="1"/>
  <c r="S38" i="3"/>
  <c r="T38" i="3" s="1"/>
  <c r="U38" i="3" s="1"/>
  <c r="N38" i="3"/>
  <c r="O38" i="3" s="1"/>
  <c r="P38" i="3" s="1"/>
  <c r="I38" i="3"/>
  <c r="J38" i="3" s="1"/>
  <c r="K38" i="3" s="1"/>
  <c r="D38" i="3"/>
  <c r="E38" i="3" s="1"/>
  <c r="F38" i="3" s="1"/>
  <c r="AW37" i="3"/>
  <c r="AX37" i="3" s="1"/>
  <c r="AY37" i="3" s="1"/>
  <c r="AR37" i="3"/>
  <c r="AS37" i="3" s="1"/>
  <c r="AT37" i="3" s="1"/>
  <c r="AM37" i="3"/>
  <c r="AN37" i="3" s="1"/>
  <c r="AO37" i="3" s="1"/>
  <c r="AH37" i="3"/>
  <c r="AI37" i="3" s="1"/>
  <c r="AJ37" i="3" s="1"/>
  <c r="AC37" i="3"/>
  <c r="AD37" i="3" s="1"/>
  <c r="AE37" i="3" s="1"/>
  <c r="X37" i="3"/>
  <c r="Y37" i="3" s="1"/>
  <c r="Z37" i="3" s="1"/>
  <c r="S37" i="3"/>
  <c r="T37" i="3" s="1"/>
  <c r="U37" i="3" s="1"/>
  <c r="N37" i="3"/>
  <c r="O37" i="3" s="1"/>
  <c r="P37" i="3" s="1"/>
  <c r="I37" i="3"/>
  <c r="J37" i="3" s="1"/>
  <c r="K37" i="3" s="1"/>
  <c r="D37" i="3"/>
  <c r="E37" i="3" s="1"/>
  <c r="F37" i="3" s="1"/>
  <c r="AW36" i="3"/>
  <c r="AX36" i="3" s="1"/>
  <c r="AY36" i="3" s="1"/>
  <c r="AR36" i="3"/>
  <c r="AS36" i="3" s="1"/>
  <c r="AT36" i="3" s="1"/>
  <c r="AM36" i="3"/>
  <c r="AN36" i="3" s="1"/>
  <c r="AO36" i="3" s="1"/>
  <c r="AH36" i="3"/>
  <c r="AI36" i="3" s="1"/>
  <c r="AJ36" i="3" s="1"/>
  <c r="AC36" i="3"/>
  <c r="AD36" i="3" s="1"/>
  <c r="AE36" i="3" s="1"/>
  <c r="X36" i="3"/>
  <c r="Y36" i="3" s="1"/>
  <c r="Z36" i="3" s="1"/>
  <c r="S36" i="3"/>
  <c r="T36" i="3" s="1"/>
  <c r="U36" i="3" s="1"/>
  <c r="N36" i="3"/>
  <c r="O36" i="3" s="1"/>
  <c r="P36" i="3" s="1"/>
  <c r="I36" i="3"/>
  <c r="J36" i="3" s="1"/>
  <c r="K36" i="3" s="1"/>
  <c r="D36" i="3"/>
  <c r="E36" i="3" s="1"/>
  <c r="F36" i="3" s="1"/>
  <c r="AW35" i="3"/>
  <c r="AX35" i="3" s="1"/>
  <c r="AY35" i="3" s="1"/>
  <c r="AR35" i="3"/>
  <c r="AS35" i="3" s="1"/>
  <c r="AT35" i="3" s="1"/>
  <c r="AM35" i="3"/>
  <c r="AN35" i="3" s="1"/>
  <c r="AO35" i="3" s="1"/>
  <c r="AH35" i="3"/>
  <c r="AI35" i="3" s="1"/>
  <c r="AJ35" i="3" s="1"/>
  <c r="AC35" i="3"/>
  <c r="AD35" i="3" s="1"/>
  <c r="AE35" i="3" s="1"/>
  <c r="X35" i="3"/>
  <c r="Y35" i="3" s="1"/>
  <c r="Z35" i="3" s="1"/>
  <c r="S35" i="3"/>
  <c r="T35" i="3" s="1"/>
  <c r="U35" i="3" s="1"/>
  <c r="N35" i="3"/>
  <c r="O35" i="3" s="1"/>
  <c r="P35" i="3" s="1"/>
  <c r="I35" i="3"/>
  <c r="J35" i="3" s="1"/>
  <c r="K35" i="3" s="1"/>
  <c r="D35" i="3"/>
  <c r="E35" i="3" s="1"/>
  <c r="F35" i="3" s="1"/>
  <c r="AW34" i="3"/>
  <c r="AX34" i="3" s="1"/>
  <c r="AY34" i="3" s="1"/>
  <c r="AR34" i="3"/>
  <c r="AS34" i="3" s="1"/>
  <c r="AT34" i="3" s="1"/>
  <c r="AM34" i="3"/>
  <c r="AN34" i="3" s="1"/>
  <c r="AO34" i="3" s="1"/>
  <c r="AH34" i="3"/>
  <c r="AI34" i="3" s="1"/>
  <c r="AJ34" i="3" s="1"/>
  <c r="AC34" i="3"/>
  <c r="AD34" i="3" s="1"/>
  <c r="AE34" i="3" s="1"/>
  <c r="X34" i="3"/>
  <c r="Y34" i="3" s="1"/>
  <c r="Z34" i="3" s="1"/>
  <c r="S34" i="3"/>
  <c r="T34" i="3" s="1"/>
  <c r="U34" i="3" s="1"/>
  <c r="N34" i="3"/>
  <c r="O34" i="3" s="1"/>
  <c r="P34" i="3" s="1"/>
  <c r="I34" i="3"/>
  <c r="J34" i="3" s="1"/>
  <c r="K34" i="3" s="1"/>
  <c r="D34" i="3"/>
  <c r="E34" i="3" s="1"/>
  <c r="F34" i="3" s="1"/>
  <c r="AW33" i="3"/>
  <c r="AX33" i="3" s="1"/>
  <c r="AY33" i="3" s="1"/>
  <c r="AR33" i="3"/>
  <c r="AS33" i="3" s="1"/>
  <c r="AT33" i="3" s="1"/>
  <c r="AM33" i="3"/>
  <c r="AN33" i="3" s="1"/>
  <c r="AO33" i="3" s="1"/>
  <c r="AH33" i="3"/>
  <c r="AI33" i="3" s="1"/>
  <c r="AJ33" i="3" s="1"/>
  <c r="AC33" i="3"/>
  <c r="AD33" i="3" s="1"/>
  <c r="AE33" i="3" s="1"/>
  <c r="X33" i="3"/>
  <c r="Y33" i="3" s="1"/>
  <c r="Z33" i="3" s="1"/>
  <c r="S33" i="3"/>
  <c r="T33" i="3" s="1"/>
  <c r="U33" i="3" s="1"/>
  <c r="N33" i="3"/>
  <c r="O33" i="3" s="1"/>
  <c r="P33" i="3" s="1"/>
  <c r="I33" i="3"/>
  <c r="J33" i="3" s="1"/>
  <c r="K33" i="3" s="1"/>
  <c r="D33" i="3"/>
  <c r="E33" i="3" s="1"/>
  <c r="F33" i="3" s="1"/>
  <c r="AW32" i="3"/>
  <c r="AX32" i="3" s="1"/>
  <c r="AY32" i="3" s="1"/>
  <c r="AR32" i="3"/>
  <c r="AS32" i="3" s="1"/>
  <c r="AT32" i="3" s="1"/>
  <c r="AM32" i="3"/>
  <c r="AN32" i="3" s="1"/>
  <c r="AO32" i="3" s="1"/>
  <c r="AH32" i="3"/>
  <c r="AI32" i="3" s="1"/>
  <c r="AJ32" i="3" s="1"/>
  <c r="AC32" i="3"/>
  <c r="AD32" i="3" s="1"/>
  <c r="AE32" i="3" s="1"/>
  <c r="X32" i="3"/>
  <c r="Y32" i="3" s="1"/>
  <c r="Z32" i="3" s="1"/>
  <c r="S32" i="3"/>
  <c r="T32" i="3" s="1"/>
  <c r="U32" i="3" s="1"/>
  <c r="N32" i="3"/>
  <c r="O32" i="3" s="1"/>
  <c r="P32" i="3" s="1"/>
  <c r="I32" i="3"/>
  <c r="J32" i="3" s="1"/>
  <c r="K32" i="3" s="1"/>
  <c r="D32" i="3"/>
  <c r="E32" i="3" s="1"/>
  <c r="F32" i="3" s="1"/>
  <c r="AW31" i="3"/>
  <c r="AX31" i="3" s="1"/>
  <c r="AY31" i="3" s="1"/>
  <c r="AR31" i="3"/>
  <c r="AS31" i="3" s="1"/>
  <c r="AT31" i="3" s="1"/>
  <c r="AM31" i="3"/>
  <c r="AN31" i="3" s="1"/>
  <c r="AO31" i="3" s="1"/>
  <c r="AH31" i="3"/>
  <c r="AI31" i="3" s="1"/>
  <c r="AJ31" i="3" s="1"/>
  <c r="AC31" i="3"/>
  <c r="AD31" i="3" s="1"/>
  <c r="AE31" i="3" s="1"/>
  <c r="X31" i="3"/>
  <c r="Y31" i="3" s="1"/>
  <c r="Z31" i="3" s="1"/>
  <c r="S31" i="3"/>
  <c r="T31" i="3" s="1"/>
  <c r="U31" i="3" s="1"/>
  <c r="N31" i="3"/>
  <c r="O31" i="3" s="1"/>
  <c r="P31" i="3" s="1"/>
  <c r="I31" i="3"/>
  <c r="J31" i="3" s="1"/>
  <c r="K31" i="3" s="1"/>
  <c r="D31" i="3"/>
  <c r="E31" i="3" s="1"/>
  <c r="F31" i="3" s="1"/>
  <c r="AW30" i="3"/>
  <c r="AX30" i="3" s="1"/>
  <c r="AY30" i="3" s="1"/>
  <c r="AR30" i="3"/>
  <c r="AS30" i="3" s="1"/>
  <c r="AT30" i="3" s="1"/>
  <c r="AM30" i="3"/>
  <c r="AN30" i="3" s="1"/>
  <c r="AO30" i="3" s="1"/>
  <c r="AH30" i="3"/>
  <c r="AI30" i="3" s="1"/>
  <c r="AJ30" i="3" s="1"/>
  <c r="AC30" i="3"/>
  <c r="AD30" i="3" s="1"/>
  <c r="AE30" i="3" s="1"/>
  <c r="X30" i="3"/>
  <c r="Y30" i="3" s="1"/>
  <c r="Z30" i="3" s="1"/>
  <c r="S30" i="3"/>
  <c r="T30" i="3" s="1"/>
  <c r="U30" i="3" s="1"/>
  <c r="N30" i="3"/>
  <c r="O30" i="3" s="1"/>
  <c r="P30" i="3" s="1"/>
  <c r="I30" i="3"/>
  <c r="J30" i="3" s="1"/>
  <c r="K30" i="3" s="1"/>
  <c r="D30" i="3"/>
  <c r="E30" i="3" s="1"/>
  <c r="F30" i="3" s="1"/>
  <c r="AW29" i="3"/>
  <c r="AX29" i="3" s="1"/>
  <c r="AY29" i="3" s="1"/>
  <c r="AR29" i="3"/>
  <c r="AS29" i="3" s="1"/>
  <c r="AT29" i="3" s="1"/>
  <c r="AM29" i="3"/>
  <c r="AN29" i="3" s="1"/>
  <c r="AO29" i="3" s="1"/>
  <c r="AH29" i="3"/>
  <c r="AI29" i="3" s="1"/>
  <c r="AJ29" i="3" s="1"/>
  <c r="AC29" i="3"/>
  <c r="AD29" i="3" s="1"/>
  <c r="AE29" i="3" s="1"/>
  <c r="X29" i="3"/>
  <c r="Y29" i="3" s="1"/>
  <c r="Z29" i="3" s="1"/>
  <c r="S29" i="3"/>
  <c r="T29" i="3" s="1"/>
  <c r="U29" i="3" s="1"/>
  <c r="N29" i="3"/>
  <c r="O29" i="3" s="1"/>
  <c r="P29" i="3" s="1"/>
  <c r="I29" i="3"/>
  <c r="J29" i="3" s="1"/>
  <c r="K29" i="3" s="1"/>
  <c r="D29" i="3"/>
  <c r="E29" i="3" s="1"/>
  <c r="F29" i="3" s="1"/>
  <c r="AW28" i="3"/>
  <c r="AX28" i="3" s="1"/>
  <c r="AY28" i="3" s="1"/>
  <c r="AR28" i="3"/>
  <c r="AS28" i="3" s="1"/>
  <c r="AT28" i="3" s="1"/>
  <c r="AM28" i="3"/>
  <c r="AN28" i="3" s="1"/>
  <c r="AO28" i="3" s="1"/>
  <c r="AH28" i="3"/>
  <c r="AI28" i="3" s="1"/>
  <c r="AJ28" i="3" s="1"/>
  <c r="AC28" i="3"/>
  <c r="AD28" i="3" s="1"/>
  <c r="AE28" i="3" s="1"/>
  <c r="X28" i="3"/>
  <c r="Y28" i="3" s="1"/>
  <c r="Z28" i="3" s="1"/>
  <c r="S28" i="3"/>
  <c r="T28" i="3" s="1"/>
  <c r="U28" i="3" s="1"/>
  <c r="N28" i="3"/>
  <c r="O28" i="3" s="1"/>
  <c r="P28" i="3" s="1"/>
  <c r="I28" i="3"/>
  <c r="J28" i="3" s="1"/>
  <c r="K28" i="3" s="1"/>
  <c r="D28" i="3"/>
  <c r="E28" i="3" s="1"/>
  <c r="F28" i="3" s="1"/>
  <c r="AW27" i="3"/>
  <c r="AX27" i="3" s="1"/>
  <c r="AY27" i="3" s="1"/>
  <c r="AR27" i="3"/>
  <c r="AS27" i="3" s="1"/>
  <c r="AT27" i="3" s="1"/>
  <c r="AM27" i="3"/>
  <c r="AN27" i="3" s="1"/>
  <c r="AO27" i="3" s="1"/>
  <c r="AH27" i="3"/>
  <c r="AI27" i="3" s="1"/>
  <c r="AJ27" i="3" s="1"/>
  <c r="AC27" i="3"/>
  <c r="AD27" i="3" s="1"/>
  <c r="AE27" i="3" s="1"/>
  <c r="X27" i="3"/>
  <c r="Y27" i="3" s="1"/>
  <c r="Z27" i="3" s="1"/>
  <c r="S27" i="3"/>
  <c r="T27" i="3" s="1"/>
  <c r="U27" i="3" s="1"/>
  <c r="N27" i="3"/>
  <c r="O27" i="3" s="1"/>
  <c r="P27" i="3" s="1"/>
  <c r="I27" i="3"/>
  <c r="J27" i="3" s="1"/>
  <c r="K27" i="3" s="1"/>
  <c r="D27" i="3"/>
  <c r="E27" i="3" s="1"/>
  <c r="F27" i="3" s="1"/>
  <c r="AW26" i="3"/>
  <c r="AX26" i="3" s="1"/>
  <c r="AY26" i="3" s="1"/>
  <c r="AR26" i="3"/>
  <c r="AS26" i="3" s="1"/>
  <c r="AT26" i="3" s="1"/>
  <c r="AM26" i="3"/>
  <c r="AN26" i="3" s="1"/>
  <c r="AO26" i="3" s="1"/>
  <c r="AH26" i="3"/>
  <c r="AI26" i="3" s="1"/>
  <c r="AJ26" i="3" s="1"/>
  <c r="AC26" i="3"/>
  <c r="AD26" i="3" s="1"/>
  <c r="AE26" i="3" s="1"/>
  <c r="X26" i="3"/>
  <c r="Y26" i="3" s="1"/>
  <c r="Z26" i="3" s="1"/>
  <c r="S26" i="3"/>
  <c r="T26" i="3" s="1"/>
  <c r="U26" i="3" s="1"/>
  <c r="N26" i="3"/>
  <c r="O26" i="3" s="1"/>
  <c r="P26" i="3" s="1"/>
  <c r="I26" i="3"/>
  <c r="J26" i="3" s="1"/>
  <c r="K26" i="3" s="1"/>
  <c r="D26" i="3"/>
  <c r="E26" i="3" s="1"/>
  <c r="F26" i="3" s="1"/>
  <c r="AW25" i="3"/>
  <c r="AX25" i="3" s="1"/>
  <c r="AY25" i="3" s="1"/>
  <c r="AR25" i="3"/>
  <c r="AS25" i="3" s="1"/>
  <c r="AT25" i="3" s="1"/>
  <c r="AM25" i="3"/>
  <c r="AN25" i="3" s="1"/>
  <c r="AO25" i="3" s="1"/>
  <c r="AH25" i="3"/>
  <c r="AI25" i="3" s="1"/>
  <c r="AJ25" i="3" s="1"/>
  <c r="AC25" i="3"/>
  <c r="AD25" i="3" s="1"/>
  <c r="AE25" i="3" s="1"/>
  <c r="X25" i="3"/>
  <c r="Y25" i="3" s="1"/>
  <c r="Z25" i="3" s="1"/>
  <c r="S25" i="3"/>
  <c r="T25" i="3" s="1"/>
  <c r="U25" i="3" s="1"/>
  <c r="N25" i="3"/>
  <c r="O25" i="3" s="1"/>
  <c r="P25" i="3" s="1"/>
  <c r="I25" i="3"/>
  <c r="J25" i="3" s="1"/>
  <c r="K25" i="3" s="1"/>
  <c r="D25" i="3"/>
  <c r="E25" i="3" s="1"/>
  <c r="F25" i="3" s="1"/>
  <c r="AW24" i="3"/>
  <c r="AX24" i="3" s="1"/>
  <c r="AY24" i="3" s="1"/>
  <c r="AR24" i="3"/>
  <c r="AS24" i="3" s="1"/>
  <c r="AT24" i="3" s="1"/>
  <c r="AM24" i="3"/>
  <c r="AN24" i="3" s="1"/>
  <c r="AO24" i="3" s="1"/>
  <c r="AH24" i="3"/>
  <c r="AI24" i="3" s="1"/>
  <c r="AJ24" i="3" s="1"/>
  <c r="AC24" i="3"/>
  <c r="AD24" i="3" s="1"/>
  <c r="AE24" i="3" s="1"/>
  <c r="X24" i="3"/>
  <c r="Y24" i="3" s="1"/>
  <c r="Z24" i="3" s="1"/>
  <c r="S24" i="3"/>
  <c r="T24" i="3" s="1"/>
  <c r="U24" i="3" s="1"/>
  <c r="N24" i="3"/>
  <c r="O24" i="3" s="1"/>
  <c r="P24" i="3" s="1"/>
  <c r="I24" i="3"/>
  <c r="J24" i="3" s="1"/>
  <c r="K24" i="3" s="1"/>
  <c r="D24" i="3"/>
  <c r="E24" i="3" s="1"/>
  <c r="F24" i="3" s="1"/>
  <c r="AW23" i="3"/>
  <c r="AX23" i="3" s="1"/>
  <c r="AY23" i="3" s="1"/>
  <c r="AR23" i="3"/>
  <c r="AS23" i="3" s="1"/>
  <c r="AT23" i="3" s="1"/>
  <c r="AM23" i="3"/>
  <c r="AN23" i="3" s="1"/>
  <c r="AO23" i="3" s="1"/>
  <c r="AH23" i="3"/>
  <c r="AI23" i="3" s="1"/>
  <c r="AJ23" i="3" s="1"/>
  <c r="AC23" i="3"/>
  <c r="AD23" i="3" s="1"/>
  <c r="AE23" i="3" s="1"/>
  <c r="X23" i="3"/>
  <c r="Y23" i="3" s="1"/>
  <c r="Z23" i="3" s="1"/>
  <c r="S23" i="3"/>
  <c r="T23" i="3" s="1"/>
  <c r="U23" i="3" s="1"/>
  <c r="N23" i="3"/>
  <c r="O23" i="3" s="1"/>
  <c r="P23" i="3" s="1"/>
  <c r="I23" i="3"/>
  <c r="J23" i="3" s="1"/>
  <c r="K23" i="3" s="1"/>
  <c r="D23" i="3"/>
  <c r="E23" i="3" s="1"/>
  <c r="F23" i="3" s="1"/>
  <c r="AW22" i="3"/>
  <c r="AX22" i="3" s="1"/>
  <c r="AY22" i="3" s="1"/>
  <c r="AR22" i="3"/>
  <c r="AS22" i="3" s="1"/>
  <c r="AT22" i="3" s="1"/>
  <c r="AM22" i="3"/>
  <c r="AN22" i="3" s="1"/>
  <c r="AO22" i="3" s="1"/>
  <c r="AH22" i="3"/>
  <c r="AI22" i="3" s="1"/>
  <c r="AJ22" i="3" s="1"/>
  <c r="AC22" i="3"/>
  <c r="AD22" i="3" s="1"/>
  <c r="AE22" i="3" s="1"/>
  <c r="X22" i="3"/>
  <c r="Y22" i="3" s="1"/>
  <c r="Z22" i="3" s="1"/>
  <c r="S22" i="3"/>
  <c r="T22" i="3" s="1"/>
  <c r="U22" i="3" s="1"/>
  <c r="N22" i="3"/>
  <c r="O22" i="3" s="1"/>
  <c r="P22" i="3" s="1"/>
  <c r="I22" i="3"/>
  <c r="J22" i="3" s="1"/>
  <c r="K22" i="3" s="1"/>
  <c r="D22" i="3"/>
  <c r="E22" i="3" s="1"/>
  <c r="F22" i="3" s="1"/>
  <c r="AW21" i="3"/>
  <c r="AX21" i="3" s="1"/>
  <c r="AY21" i="3" s="1"/>
  <c r="AR21" i="3"/>
  <c r="AS21" i="3" s="1"/>
  <c r="AT21" i="3" s="1"/>
  <c r="AM21" i="3"/>
  <c r="AN21" i="3" s="1"/>
  <c r="AO21" i="3" s="1"/>
  <c r="AH21" i="3"/>
  <c r="AI21" i="3" s="1"/>
  <c r="AJ21" i="3" s="1"/>
  <c r="AC21" i="3"/>
  <c r="AD21" i="3" s="1"/>
  <c r="AE21" i="3" s="1"/>
  <c r="X21" i="3"/>
  <c r="Y21" i="3" s="1"/>
  <c r="Z21" i="3" s="1"/>
  <c r="S21" i="3"/>
  <c r="T21" i="3" s="1"/>
  <c r="U21" i="3" s="1"/>
  <c r="N21" i="3"/>
  <c r="O21" i="3" s="1"/>
  <c r="P21" i="3" s="1"/>
  <c r="I21" i="3"/>
  <c r="J21" i="3" s="1"/>
  <c r="K21" i="3" s="1"/>
  <c r="D21" i="3"/>
  <c r="E21" i="3" s="1"/>
  <c r="F21" i="3" s="1"/>
  <c r="AW20" i="3"/>
  <c r="AX20" i="3" s="1"/>
  <c r="AY20" i="3" s="1"/>
  <c r="AR20" i="3"/>
  <c r="AS20" i="3" s="1"/>
  <c r="AT20" i="3" s="1"/>
  <c r="AM20" i="3"/>
  <c r="AN20" i="3" s="1"/>
  <c r="AO20" i="3" s="1"/>
  <c r="AH20" i="3"/>
  <c r="AI20" i="3" s="1"/>
  <c r="AJ20" i="3" s="1"/>
  <c r="AC20" i="3"/>
  <c r="AD20" i="3" s="1"/>
  <c r="AE20" i="3" s="1"/>
  <c r="X20" i="3"/>
  <c r="Y20" i="3" s="1"/>
  <c r="Z20" i="3" s="1"/>
  <c r="S20" i="3"/>
  <c r="T20" i="3" s="1"/>
  <c r="U20" i="3" s="1"/>
  <c r="N20" i="3"/>
  <c r="O20" i="3" s="1"/>
  <c r="P20" i="3" s="1"/>
  <c r="I20" i="3"/>
  <c r="J20" i="3" s="1"/>
  <c r="K20" i="3" s="1"/>
  <c r="D20" i="3"/>
  <c r="E20" i="3" s="1"/>
  <c r="F20" i="3" s="1"/>
  <c r="AW19" i="3"/>
  <c r="AX19" i="3" s="1"/>
  <c r="AY19" i="3" s="1"/>
  <c r="AR19" i="3"/>
  <c r="AS19" i="3" s="1"/>
  <c r="AT19" i="3" s="1"/>
  <c r="AM19" i="3"/>
  <c r="AN19" i="3" s="1"/>
  <c r="AO19" i="3" s="1"/>
  <c r="AH19" i="3"/>
  <c r="AI19" i="3" s="1"/>
  <c r="AJ19" i="3" s="1"/>
  <c r="AC19" i="3"/>
  <c r="AD19" i="3" s="1"/>
  <c r="AE19" i="3" s="1"/>
  <c r="X19" i="3"/>
  <c r="Y19" i="3" s="1"/>
  <c r="Z19" i="3" s="1"/>
  <c r="S19" i="3"/>
  <c r="T19" i="3" s="1"/>
  <c r="U19" i="3" s="1"/>
  <c r="N19" i="3"/>
  <c r="O19" i="3" s="1"/>
  <c r="P19" i="3" s="1"/>
  <c r="I19" i="3"/>
  <c r="J19" i="3" s="1"/>
  <c r="K19" i="3" s="1"/>
  <c r="D19" i="3"/>
  <c r="E19" i="3" s="1"/>
  <c r="F19" i="3" s="1"/>
  <c r="AW18" i="3"/>
  <c r="AX18" i="3" s="1"/>
  <c r="AY18" i="3" s="1"/>
  <c r="AR18" i="3"/>
  <c r="AS18" i="3" s="1"/>
  <c r="AT18" i="3" s="1"/>
  <c r="AM18" i="3"/>
  <c r="AN18" i="3" s="1"/>
  <c r="AO18" i="3" s="1"/>
  <c r="AH18" i="3"/>
  <c r="AI18" i="3" s="1"/>
  <c r="AJ18" i="3" s="1"/>
  <c r="AC18" i="3"/>
  <c r="AD18" i="3" s="1"/>
  <c r="AE18" i="3" s="1"/>
  <c r="X18" i="3"/>
  <c r="Y18" i="3" s="1"/>
  <c r="Z18" i="3" s="1"/>
  <c r="S18" i="3"/>
  <c r="T18" i="3" s="1"/>
  <c r="U18" i="3" s="1"/>
  <c r="N18" i="3"/>
  <c r="O18" i="3" s="1"/>
  <c r="P18" i="3" s="1"/>
  <c r="I18" i="3"/>
  <c r="J18" i="3" s="1"/>
  <c r="K18" i="3" s="1"/>
  <c r="D18" i="3"/>
  <c r="E18" i="3" s="1"/>
  <c r="F18" i="3" s="1"/>
  <c r="AW17" i="3"/>
  <c r="AX17" i="3" s="1"/>
  <c r="AY17" i="3" s="1"/>
  <c r="AR17" i="3"/>
  <c r="AS17" i="3" s="1"/>
  <c r="AT17" i="3" s="1"/>
  <c r="AM17" i="3"/>
  <c r="AN17" i="3" s="1"/>
  <c r="AO17" i="3" s="1"/>
  <c r="AH17" i="3"/>
  <c r="AI17" i="3" s="1"/>
  <c r="AJ17" i="3" s="1"/>
  <c r="AC17" i="3"/>
  <c r="AD17" i="3" s="1"/>
  <c r="AE17" i="3" s="1"/>
  <c r="X17" i="3"/>
  <c r="Y17" i="3" s="1"/>
  <c r="Z17" i="3" s="1"/>
  <c r="S17" i="3"/>
  <c r="T17" i="3" s="1"/>
  <c r="U17" i="3" s="1"/>
  <c r="N17" i="3"/>
  <c r="O17" i="3" s="1"/>
  <c r="P17" i="3" s="1"/>
  <c r="I17" i="3"/>
  <c r="J17" i="3" s="1"/>
  <c r="K17" i="3" s="1"/>
  <c r="D17" i="3"/>
  <c r="E17" i="3" s="1"/>
  <c r="F17" i="3" s="1"/>
  <c r="AW16" i="3"/>
  <c r="AX16" i="3" s="1"/>
  <c r="AY16" i="3" s="1"/>
  <c r="AR16" i="3"/>
  <c r="AS16" i="3" s="1"/>
  <c r="AT16" i="3" s="1"/>
  <c r="AM16" i="3"/>
  <c r="AN16" i="3" s="1"/>
  <c r="AO16" i="3" s="1"/>
  <c r="AH16" i="3"/>
  <c r="AI16" i="3" s="1"/>
  <c r="AJ16" i="3" s="1"/>
  <c r="AC16" i="3"/>
  <c r="AD16" i="3" s="1"/>
  <c r="AE16" i="3" s="1"/>
  <c r="X16" i="3"/>
  <c r="Y16" i="3" s="1"/>
  <c r="Z16" i="3" s="1"/>
  <c r="S16" i="3"/>
  <c r="T16" i="3" s="1"/>
  <c r="U16" i="3" s="1"/>
  <c r="N16" i="3"/>
  <c r="O16" i="3" s="1"/>
  <c r="P16" i="3" s="1"/>
  <c r="I16" i="3"/>
  <c r="J16" i="3" s="1"/>
  <c r="K16" i="3" s="1"/>
  <c r="D16" i="3"/>
  <c r="E16" i="3" s="1"/>
  <c r="F16" i="3" s="1"/>
  <c r="AW15" i="3"/>
  <c r="AX15" i="3" s="1"/>
  <c r="AY15" i="3" s="1"/>
  <c r="AR15" i="3"/>
  <c r="AS15" i="3" s="1"/>
  <c r="AT15" i="3" s="1"/>
  <c r="AM15" i="3"/>
  <c r="AN15" i="3" s="1"/>
  <c r="AO15" i="3" s="1"/>
  <c r="AH15" i="3"/>
  <c r="AI15" i="3" s="1"/>
  <c r="AJ15" i="3" s="1"/>
  <c r="AC15" i="3"/>
  <c r="AD15" i="3" s="1"/>
  <c r="AE15" i="3" s="1"/>
  <c r="X15" i="3"/>
  <c r="Y15" i="3" s="1"/>
  <c r="Z15" i="3" s="1"/>
  <c r="S15" i="3"/>
  <c r="T15" i="3" s="1"/>
  <c r="U15" i="3" s="1"/>
  <c r="N15" i="3"/>
  <c r="O15" i="3" s="1"/>
  <c r="P15" i="3" s="1"/>
  <c r="I15" i="3"/>
  <c r="J15" i="3" s="1"/>
  <c r="K15" i="3" s="1"/>
  <c r="D15" i="3"/>
  <c r="E15" i="3" s="1"/>
  <c r="F15" i="3" s="1"/>
  <c r="AW14" i="3"/>
  <c r="AX14" i="3" s="1"/>
  <c r="AY14" i="3" s="1"/>
  <c r="AR14" i="3"/>
  <c r="AS14" i="3" s="1"/>
  <c r="AT14" i="3" s="1"/>
  <c r="AM14" i="3"/>
  <c r="AN14" i="3" s="1"/>
  <c r="AO14" i="3" s="1"/>
  <c r="AH14" i="3"/>
  <c r="AI14" i="3" s="1"/>
  <c r="AJ14" i="3" s="1"/>
  <c r="AC14" i="3"/>
  <c r="AD14" i="3" s="1"/>
  <c r="AE14" i="3" s="1"/>
  <c r="X14" i="3"/>
  <c r="Y14" i="3" s="1"/>
  <c r="Z14" i="3" s="1"/>
  <c r="S14" i="3"/>
  <c r="T14" i="3" s="1"/>
  <c r="U14" i="3" s="1"/>
  <c r="N14" i="3"/>
  <c r="O14" i="3" s="1"/>
  <c r="P14" i="3" s="1"/>
  <c r="I14" i="3"/>
  <c r="J14" i="3" s="1"/>
  <c r="K14" i="3" s="1"/>
  <c r="D14" i="3"/>
  <c r="E14" i="3" s="1"/>
  <c r="F14" i="3" s="1"/>
  <c r="AW13" i="3"/>
  <c r="AX13" i="3" s="1"/>
  <c r="AY13" i="3" s="1"/>
  <c r="AR13" i="3"/>
  <c r="AS13" i="3" s="1"/>
  <c r="AT13" i="3" s="1"/>
  <c r="AM13" i="3"/>
  <c r="AN13" i="3" s="1"/>
  <c r="AO13" i="3" s="1"/>
  <c r="AH13" i="3"/>
  <c r="AI13" i="3" s="1"/>
  <c r="AJ13" i="3" s="1"/>
  <c r="AC13" i="3"/>
  <c r="AD13" i="3" s="1"/>
  <c r="AE13" i="3" s="1"/>
  <c r="X13" i="3"/>
  <c r="Y13" i="3" s="1"/>
  <c r="Z13" i="3" s="1"/>
  <c r="S13" i="3"/>
  <c r="T13" i="3" s="1"/>
  <c r="U13" i="3" s="1"/>
  <c r="N13" i="3"/>
  <c r="O13" i="3" s="1"/>
  <c r="P13" i="3" s="1"/>
  <c r="I13" i="3"/>
  <c r="J13" i="3" s="1"/>
  <c r="K13" i="3" s="1"/>
  <c r="D13" i="3"/>
  <c r="E13" i="3" s="1"/>
  <c r="F13" i="3" s="1"/>
  <c r="AW12" i="3"/>
  <c r="AX12" i="3" s="1"/>
  <c r="AY12" i="3" s="1"/>
  <c r="AR12" i="3"/>
  <c r="AS12" i="3" s="1"/>
  <c r="AT12" i="3" s="1"/>
  <c r="AM12" i="3"/>
  <c r="AN12" i="3" s="1"/>
  <c r="AO12" i="3" s="1"/>
  <c r="AH12" i="3"/>
  <c r="AI12" i="3" s="1"/>
  <c r="AJ12" i="3" s="1"/>
  <c r="AC12" i="3"/>
  <c r="AD12" i="3" s="1"/>
  <c r="AE12" i="3" s="1"/>
  <c r="X12" i="3"/>
  <c r="Y12" i="3" s="1"/>
  <c r="Z12" i="3" s="1"/>
  <c r="S12" i="3"/>
  <c r="T12" i="3" s="1"/>
  <c r="U12" i="3" s="1"/>
  <c r="N12" i="3"/>
  <c r="O12" i="3" s="1"/>
  <c r="P12" i="3" s="1"/>
  <c r="I12" i="3"/>
  <c r="J12" i="3" s="1"/>
  <c r="K12" i="3" s="1"/>
  <c r="D12" i="3"/>
  <c r="E12" i="3" s="1"/>
  <c r="F12" i="3" s="1"/>
  <c r="AW11" i="3"/>
  <c r="AX11" i="3" s="1"/>
  <c r="AY11" i="3" s="1"/>
  <c r="AR11" i="3"/>
  <c r="AS11" i="3" s="1"/>
  <c r="AT11" i="3" s="1"/>
  <c r="AM11" i="3"/>
  <c r="AN11" i="3" s="1"/>
  <c r="AO11" i="3" s="1"/>
  <c r="AH11" i="3"/>
  <c r="AI11" i="3" s="1"/>
  <c r="AJ11" i="3" s="1"/>
  <c r="AC11" i="3"/>
  <c r="AD11" i="3" s="1"/>
  <c r="AE11" i="3" s="1"/>
  <c r="X11" i="3"/>
  <c r="Y11" i="3" s="1"/>
  <c r="Z11" i="3" s="1"/>
  <c r="S11" i="3"/>
  <c r="T11" i="3" s="1"/>
  <c r="U11" i="3" s="1"/>
  <c r="N11" i="3"/>
  <c r="O11" i="3" s="1"/>
  <c r="P11" i="3" s="1"/>
  <c r="I11" i="3"/>
  <c r="J11" i="3" s="1"/>
  <c r="K11" i="3" s="1"/>
  <c r="D11" i="3"/>
  <c r="E11" i="3" s="1"/>
  <c r="F11" i="3" s="1"/>
  <c r="AW10" i="3"/>
  <c r="AX10" i="3" s="1"/>
  <c r="AY10" i="3" s="1"/>
  <c r="AR10" i="3"/>
  <c r="AS10" i="3" s="1"/>
  <c r="AT10" i="3" s="1"/>
  <c r="AM10" i="3"/>
  <c r="AN10" i="3" s="1"/>
  <c r="AO10" i="3" s="1"/>
  <c r="AH10" i="3"/>
  <c r="AI10" i="3" s="1"/>
  <c r="AJ10" i="3" s="1"/>
  <c r="AC10" i="3"/>
  <c r="AD10" i="3" s="1"/>
  <c r="AE10" i="3" s="1"/>
  <c r="X10" i="3"/>
  <c r="Y10" i="3" s="1"/>
  <c r="Z10" i="3" s="1"/>
  <c r="S10" i="3"/>
  <c r="T10" i="3" s="1"/>
  <c r="U10" i="3" s="1"/>
  <c r="N10" i="3"/>
  <c r="O10" i="3" s="1"/>
  <c r="P10" i="3" s="1"/>
  <c r="I10" i="3"/>
  <c r="J10" i="3" s="1"/>
  <c r="K10" i="3" s="1"/>
  <c r="D10" i="3"/>
  <c r="E10" i="3" s="1"/>
  <c r="F10" i="3" s="1"/>
  <c r="AW9" i="3"/>
  <c r="AX9" i="3" s="1"/>
  <c r="AY9" i="3" s="1"/>
  <c r="AR9" i="3"/>
  <c r="AS9" i="3" s="1"/>
  <c r="AT9" i="3" s="1"/>
  <c r="AM9" i="3"/>
  <c r="AN9" i="3" s="1"/>
  <c r="AO9" i="3" s="1"/>
  <c r="AH9" i="3"/>
  <c r="AI9" i="3" s="1"/>
  <c r="AJ9" i="3" s="1"/>
  <c r="AC9" i="3"/>
  <c r="AD9" i="3" s="1"/>
  <c r="AE9" i="3" s="1"/>
  <c r="X9" i="3"/>
  <c r="Y9" i="3" s="1"/>
  <c r="Z9" i="3" s="1"/>
  <c r="S9" i="3"/>
  <c r="T9" i="3" s="1"/>
  <c r="U9" i="3" s="1"/>
  <c r="N9" i="3"/>
  <c r="O9" i="3" s="1"/>
  <c r="P9" i="3" s="1"/>
  <c r="I9" i="3"/>
  <c r="J9" i="3" s="1"/>
  <c r="K9" i="3" s="1"/>
  <c r="D9" i="3"/>
  <c r="E9" i="3" s="1"/>
  <c r="F9" i="3" s="1"/>
  <c r="AW8" i="3"/>
  <c r="AX8" i="3" s="1"/>
  <c r="AY8" i="3" s="1"/>
  <c r="AR8" i="3"/>
  <c r="AS8" i="3" s="1"/>
  <c r="AT8" i="3" s="1"/>
  <c r="AM8" i="3"/>
  <c r="AN8" i="3" s="1"/>
  <c r="AO8" i="3" s="1"/>
  <c r="AH8" i="3"/>
  <c r="AI8" i="3" s="1"/>
  <c r="AJ8" i="3" s="1"/>
  <c r="AC8" i="3"/>
  <c r="AD8" i="3" s="1"/>
  <c r="AE8" i="3" s="1"/>
  <c r="X8" i="3"/>
  <c r="Y8" i="3" s="1"/>
  <c r="Z8" i="3" s="1"/>
  <c r="S8" i="3"/>
  <c r="T8" i="3" s="1"/>
  <c r="U8" i="3" s="1"/>
  <c r="N8" i="3"/>
  <c r="O8" i="3" s="1"/>
  <c r="P8" i="3" s="1"/>
  <c r="I8" i="3"/>
  <c r="J8" i="3" s="1"/>
  <c r="K8" i="3" s="1"/>
  <c r="D8" i="3"/>
  <c r="E8" i="3" s="1"/>
  <c r="F8" i="3" s="1"/>
  <c r="AW7" i="3"/>
  <c r="AX7" i="3" s="1"/>
  <c r="AY7" i="3" s="1"/>
  <c r="AR7" i="3"/>
  <c r="AS7" i="3" s="1"/>
  <c r="AT7" i="3" s="1"/>
  <c r="AM7" i="3"/>
  <c r="AN7" i="3" s="1"/>
  <c r="AO7" i="3" s="1"/>
  <c r="AH7" i="3"/>
  <c r="AI7" i="3" s="1"/>
  <c r="AJ7" i="3" s="1"/>
  <c r="AC7" i="3"/>
  <c r="AD7" i="3" s="1"/>
  <c r="AE7" i="3" s="1"/>
  <c r="X7" i="3"/>
  <c r="Y7" i="3" s="1"/>
  <c r="Z7" i="3" s="1"/>
  <c r="S7" i="3"/>
  <c r="T7" i="3" s="1"/>
  <c r="U7" i="3" s="1"/>
  <c r="N7" i="3"/>
  <c r="O7" i="3" s="1"/>
  <c r="P7" i="3" s="1"/>
  <c r="I7" i="3"/>
  <c r="J7" i="3" s="1"/>
  <c r="K7" i="3" s="1"/>
  <c r="D7" i="3"/>
  <c r="E7" i="3" s="1"/>
  <c r="F7" i="3" s="1"/>
  <c r="AW6" i="3"/>
  <c r="AX6" i="3" s="1"/>
  <c r="AY6" i="3" s="1"/>
  <c r="AR6" i="3"/>
  <c r="AS6" i="3" s="1"/>
  <c r="AT6" i="3" s="1"/>
  <c r="AM6" i="3"/>
  <c r="AN6" i="3" s="1"/>
  <c r="AO6" i="3" s="1"/>
  <c r="AH6" i="3"/>
  <c r="AI6" i="3" s="1"/>
  <c r="AJ6" i="3" s="1"/>
  <c r="AC6" i="3"/>
  <c r="AD6" i="3" s="1"/>
  <c r="AE6" i="3" s="1"/>
  <c r="X6" i="3"/>
  <c r="Y6" i="3" s="1"/>
  <c r="Z6" i="3" s="1"/>
  <c r="S6" i="3"/>
  <c r="T6" i="3" s="1"/>
  <c r="U6" i="3" s="1"/>
  <c r="N6" i="3"/>
  <c r="O6" i="3" s="1"/>
  <c r="P6" i="3" s="1"/>
  <c r="I6" i="3"/>
  <c r="J6" i="3" s="1"/>
  <c r="K6" i="3" s="1"/>
  <c r="D6" i="3"/>
  <c r="E6" i="3" s="1"/>
  <c r="F6" i="3" s="1"/>
  <c r="AW5" i="3"/>
  <c r="AX5" i="3" s="1"/>
  <c r="AY5" i="3" s="1"/>
  <c r="AR5" i="3"/>
  <c r="AS5" i="3" s="1"/>
  <c r="AT5" i="3" s="1"/>
  <c r="AM5" i="3"/>
  <c r="AN5" i="3" s="1"/>
  <c r="AO5" i="3" s="1"/>
  <c r="AH5" i="3"/>
  <c r="AI5" i="3" s="1"/>
  <c r="AJ5" i="3" s="1"/>
  <c r="AC5" i="3"/>
  <c r="AD5" i="3" s="1"/>
  <c r="AE5" i="3" s="1"/>
  <c r="X5" i="3"/>
  <c r="Y5" i="3" s="1"/>
  <c r="Z5" i="3" s="1"/>
  <c r="S5" i="3"/>
  <c r="T5" i="3" s="1"/>
  <c r="U5" i="3" s="1"/>
  <c r="N5" i="3"/>
  <c r="O5" i="3" s="1"/>
  <c r="P5" i="3" s="1"/>
  <c r="I5" i="3"/>
  <c r="J5" i="3" s="1"/>
  <c r="K5" i="3" s="1"/>
  <c r="D5" i="3"/>
  <c r="E5" i="3" s="1"/>
  <c r="F5" i="3" s="1"/>
  <c r="AW4" i="3"/>
  <c r="AX4" i="3" s="1"/>
  <c r="AY4" i="3" s="1"/>
  <c r="AR4" i="3"/>
  <c r="AS4" i="3" s="1"/>
  <c r="AT4" i="3" s="1"/>
  <c r="AM4" i="3"/>
  <c r="AN4" i="3" s="1"/>
  <c r="AO4" i="3" s="1"/>
  <c r="AH4" i="3"/>
  <c r="AI4" i="3" s="1"/>
  <c r="AJ4" i="3" s="1"/>
  <c r="AC4" i="3"/>
  <c r="AD4" i="3" s="1"/>
  <c r="AE4" i="3" s="1"/>
  <c r="X4" i="3"/>
  <c r="Y4" i="3" s="1"/>
  <c r="Z4" i="3" s="1"/>
  <c r="S4" i="3"/>
  <c r="T4" i="3" s="1"/>
  <c r="U4" i="3" s="1"/>
  <c r="N4" i="3"/>
  <c r="O4" i="3" s="1"/>
  <c r="P4" i="3" s="1"/>
  <c r="I4" i="3"/>
  <c r="J4" i="3" s="1"/>
  <c r="K4" i="3" s="1"/>
  <c r="D4" i="3"/>
  <c r="E4" i="3" s="1"/>
  <c r="F4" i="3" s="1"/>
  <c r="AW3" i="3"/>
  <c r="AX3" i="3" s="1"/>
  <c r="AY3" i="3" s="1"/>
  <c r="AR3" i="3"/>
  <c r="AS3" i="3" s="1"/>
  <c r="AT3" i="3" s="1"/>
  <c r="AM3" i="3"/>
  <c r="AN3" i="3" s="1"/>
  <c r="AO3" i="3" s="1"/>
  <c r="AH3" i="3"/>
  <c r="AI3" i="3" s="1"/>
  <c r="AJ3" i="3" s="1"/>
  <c r="AC3" i="3"/>
  <c r="AD3" i="3" s="1"/>
  <c r="AE3" i="3" s="1"/>
  <c r="X3" i="3"/>
  <c r="Y3" i="3" s="1"/>
  <c r="Z3" i="3" s="1"/>
  <c r="S3" i="3"/>
  <c r="T3" i="3" s="1"/>
  <c r="U3" i="3" s="1"/>
  <c r="N3" i="3"/>
  <c r="O3" i="3" s="1"/>
  <c r="P3" i="3" s="1"/>
  <c r="I3" i="3"/>
  <c r="J3" i="3" s="1"/>
  <c r="K3" i="3" s="1"/>
  <c r="D3" i="3"/>
  <c r="E3" i="3" s="1"/>
  <c r="F3" i="3" s="1"/>
  <c r="AO103" i="3" l="1"/>
  <c r="F103" i="3"/>
  <c r="K103" i="3"/>
  <c r="P103" i="3"/>
  <c r="AT103" i="3"/>
  <c r="AJ103" i="3"/>
  <c r="U103" i="3"/>
  <c r="AE103" i="3"/>
  <c r="Z103" i="3"/>
  <c r="AY103" i="3"/>
  <c r="AW102" i="1"/>
  <c r="AX102" i="1" s="1"/>
  <c r="AY102" i="1" s="1"/>
  <c r="AR102" i="1"/>
  <c r="AS102" i="1" s="1"/>
  <c r="AT102" i="1" s="1"/>
  <c r="AW101" i="1"/>
  <c r="AX101" i="1" s="1"/>
  <c r="AY101" i="1" s="1"/>
  <c r="AR101" i="1"/>
  <c r="AS101" i="1" s="1"/>
  <c r="AT101" i="1" s="1"/>
  <c r="AW100" i="1"/>
  <c r="AX100" i="1" s="1"/>
  <c r="AY100" i="1" s="1"/>
  <c r="AR100" i="1"/>
  <c r="AS100" i="1" s="1"/>
  <c r="AT100" i="1" s="1"/>
  <c r="AW99" i="1"/>
  <c r="AX99" i="1" s="1"/>
  <c r="AY99" i="1" s="1"/>
  <c r="AR99" i="1"/>
  <c r="AS99" i="1" s="1"/>
  <c r="AT99" i="1" s="1"/>
  <c r="AW98" i="1"/>
  <c r="AX98" i="1" s="1"/>
  <c r="AY98" i="1" s="1"/>
  <c r="AR98" i="1"/>
  <c r="AS98" i="1" s="1"/>
  <c r="AT98" i="1" s="1"/>
  <c r="AW97" i="1"/>
  <c r="AX97" i="1" s="1"/>
  <c r="AY97" i="1" s="1"/>
  <c r="AR97" i="1"/>
  <c r="AS97" i="1" s="1"/>
  <c r="AT97" i="1" s="1"/>
  <c r="AW96" i="1"/>
  <c r="AX96" i="1" s="1"/>
  <c r="AY96" i="1" s="1"/>
  <c r="AR96" i="1"/>
  <c r="AS96" i="1" s="1"/>
  <c r="AT96" i="1" s="1"/>
  <c r="AW95" i="1"/>
  <c r="AX95" i="1" s="1"/>
  <c r="AY95" i="1" s="1"/>
  <c r="AR95" i="1"/>
  <c r="AS95" i="1" s="1"/>
  <c r="AT95" i="1" s="1"/>
  <c r="AW94" i="1"/>
  <c r="AX94" i="1" s="1"/>
  <c r="AY94" i="1" s="1"/>
  <c r="AR94" i="1"/>
  <c r="AS94" i="1" s="1"/>
  <c r="AT94" i="1" s="1"/>
  <c r="AW93" i="1"/>
  <c r="AX93" i="1" s="1"/>
  <c r="AY93" i="1" s="1"/>
  <c r="AR93" i="1"/>
  <c r="AS93" i="1" s="1"/>
  <c r="AT93" i="1" s="1"/>
  <c r="AW92" i="1"/>
  <c r="AX92" i="1" s="1"/>
  <c r="AY92" i="1" s="1"/>
  <c r="AR92" i="1"/>
  <c r="AS92" i="1" s="1"/>
  <c r="AT92" i="1" s="1"/>
  <c r="AW91" i="1"/>
  <c r="AX91" i="1" s="1"/>
  <c r="AY91" i="1" s="1"/>
  <c r="AR91" i="1"/>
  <c r="AS91" i="1" s="1"/>
  <c r="AT91" i="1" s="1"/>
  <c r="AW90" i="1"/>
  <c r="AX90" i="1" s="1"/>
  <c r="AY90" i="1" s="1"/>
  <c r="AR90" i="1"/>
  <c r="AS90" i="1" s="1"/>
  <c r="AT90" i="1" s="1"/>
  <c r="AW89" i="1"/>
  <c r="AX89" i="1" s="1"/>
  <c r="AY89" i="1" s="1"/>
  <c r="AR89" i="1"/>
  <c r="AS89" i="1" s="1"/>
  <c r="AT89" i="1" s="1"/>
  <c r="AW88" i="1"/>
  <c r="AX88" i="1" s="1"/>
  <c r="AY88" i="1" s="1"/>
  <c r="AR88" i="1"/>
  <c r="AS88" i="1" s="1"/>
  <c r="AT88" i="1" s="1"/>
  <c r="AX87" i="1"/>
  <c r="AY87" i="1" s="1"/>
  <c r="AW87" i="1"/>
  <c r="AR87" i="1"/>
  <c r="AS87" i="1" s="1"/>
  <c r="AT87" i="1" s="1"/>
  <c r="AW86" i="1"/>
  <c r="AX86" i="1" s="1"/>
  <c r="AY86" i="1" s="1"/>
  <c r="AR86" i="1"/>
  <c r="AS86" i="1" s="1"/>
  <c r="AT86" i="1" s="1"/>
  <c r="AW85" i="1"/>
  <c r="AX85" i="1" s="1"/>
  <c r="AY85" i="1" s="1"/>
  <c r="AR85" i="1"/>
  <c r="AS85" i="1" s="1"/>
  <c r="AT85" i="1" s="1"/>
  <c r="AW84" i="1"/>
  <c r="AX84" i="1" s="1"/>
  <c r="AY84" i="1" s="1"/>
  <c r="AR84" i="1"/>
  <c r="AS84" i="1" s="1"/>
  <c r="AT84" i="1" s="1"/>
  <c r="AW83" i="1"/>
  <c r="AX83" i="1" s="1"/>
  <c r="AY83" i="1" s="1"/>
  <c r="AR83" i="1"/>
  <c r="AS83" i="1" s="1"/>
  <c r="AT83" i="1" s="1"/>
  <c r="AW82" i="1"/>
  <c r="AX82" i="1" s="1"/>
  <c r="AY82" i="1" s="1"/>
  <c r="AR82" i="1"/>
  <c r="AS82" i="1" s="1"/>
  <c r="AT82" i="1" s="1"/>
  <c r="AW81" i="1"/>
  <c r="AX81" i="1" s="1"/>
  <c r="AY81" i="1" s="1"/>
  <c r="AR81" i="1"/>
  <c r="AS81" i="1" s="1"/>
  <c r="AT81" i="1" s="1"/>
  <c r="AW80" i="1"/>
  <c r="AX80" i="1" s="1"/>
  <c r="AY80" i="1" s="1"/>
  <c r="AR80" i="1"/>
  <c r="AS80" i="1" s="1"/>
  <c r="AT80" i="1" s="1"/>
  <c r="AW79" i="1"/>
  <c r="AX79" i="1" s="1"/>
  <c r="AY79" i="1" s="1"/>
  <c r="AR79" i="1"/>
  <c r="AS79" i="1" s="1"/>
  <c r="AT79" i="1" s="1"/>
  <c r="AW78" i="1"/>
  <c r="AX78" i="1" s="1"/>
  <c r="AY78" i="1" s="1"/>
  <c r="AR78" i="1"/>
  <c r="AS78" i="1" s="1"/>
  <c r="AT78" i="1" s="1"/>
  <c r="AW77" i="1"/>
  <c r="AX77" i="1" s="1"/>
  <c r="AY77" i="1" s="1"/>
  <c r="AR77" i="1"/>
  <c r="AS77" i="1" s="1"/>
  <c r="AT77" i="1" s="1"/>
  <c r="AW76" i="1"/>
  <c r="AX76" i="1" s="1"/>
  <c r="AY76" i="1" s="1"/>
  <c r="AR76" i="1"/>
  <c r="AS76" i="1" s="1"/>
  <c r="AT76" i="1" s="1"/>
  <c r="AX75" i="1"/>
  <c r="AY75" i="1" s="1"/>
  <c r="AW75" i="1"/>
  <c r="AR75" i="1"/>
  <c r="AS75" i="1" s="1"/>
  <c r="AT75" i="1" s="1"/>
  <c r="AW74" i="1"/>
  <c r="AX74" i="1" s="1"/>
  <c r="AY74" i="1" s="1"/>
  <c r="AR74" i="1"/>
  <c r="AS74" i="1" s="1"/>
  <c r="AT74" i="1" s="1"/>
  <c r="AW73" i="1"/>
  <c r="AX73" i="1" s="1"/>
  <c r="AY73" i="1" s="1"/>
  <c r="AR73" i="1"/>
  <c r="AS73" i="1" s="1"/>
  <c r="AT73" i="1" s="1"/>
  <c r="AW72" i="1"/>
  <c r="AX72" i="1" s="1"/>
  <c r="AY72" i="1" s="1"/>
  <c r="AR72" i="1"/>
  <c r="AS72" i="1" s="1"/>
  <c r="AT72" i="1" s="1"/>
  <c r="AW71" i="1"/>
  <c r="AX71" i="1" s="1"/>
  <c r="AY71" i="1" s="1"/>
  <c r="AS71" i="1"/>
  <c r="AT71" i="1" s="1"/>
  <c r="AR71" i="1"/>
  <c r="AW70" i="1"/>
  <c r="AX70" i="1" s="1"/>
  <c r="AY70" i="1" s="1"/>
  <c r="AR70" i="1"/>
  <c r="AS70" i="1" s="1"/>
  <c r="AT70" i="1" s="1"/>
  <c r="AW69" i="1"/>
  <c r="AX69" i="1" s="1"/>
  <c r="AY69" i="1" s="1"/>
  <c r="AR69" i="1"/>
  <c r="AS69" i="1" s="1"/>
  <c r="AT69" i="1" s="1"/>
  <c r="AW68" i="1"/>
  <c r="AX68" i="1" s="1"/>
  <c r="AY68" i="1" s="1"/>
  <c r="AR68" i="1"/>
  <c r="AS68" i="1" s="1"/>
  <c r="AT68" i="1" s="1"/>
  <c r="AW67" i="1"/>
  <c r="AX67" i="1" s="1"/>
  <c r="AY67" i="1" s="1"/>
  <c r="AR67" i="1"/>
  <c r="AS67" i="1" s="1"/>
  <c r="AT67" i="1" s="1"/>
  <c r="AW66" i="1"/>
  <c r="AX66" i="1" s="1"/>
  <c r="AY66" i="1" s="1"/>
  <c r="AR66" i="1"/>
  <c r="AS66" i="1" s="1"/>
  <c r="AT66" i="1" s="1"/>
  <c r="AW65" i="1"/>
  <c r="AX65" i="1" s="1"/>
  <c r="AY65" i="1" s="1"/>
  <c r="AR65" i="1"/>
  <c r="AS65" i="1" s="1"/>
  <c r="AT65" i="1" s="1"/>
  <c r="AX64" i="1"/>
  <c r="AY64" i="1" s="1"/>
  <c r="AW64" i="1"/>
  <c r="AR64" i="1"/>
  <c r="AS64" i="1" s="1"/>
  <c r="AT64" i="1" s="1"/>
  <c r="AW63" i="1"/>
  <c r="AX63" i="1" s="1"/>
  <c r="AY63" i="1" s="1"/>
  <c r="AR63" i="1"/>
  <c r="AS63" i="1" s="1"/>
  <c r="AT63" i="1" s="1"/>
  <c r="AW62" i="1"/>
  <c r="AX62" i="1" s="1"/>
  <c r="AY62" i="1" s="1"/>
  <c r="AR62" i="1"/>
  <c r="AS62" i="1" s="1"/>
  <c r="AT62" i="1" s="1"/>
  <c r="AX61" i="1"/>
  <c r="AY61" i="1" s="1"/>
  <c r="AW61" i="1"/>
  <c r="AR61" i="1"/>
  <c r="AS61" i="1" s="1"/>
  <c r="AT61" i="1" s="1"/>
  <c r="AW60" i="1"/>
  <c r="AX60" i="1" s="1"/>
  <c r="AY60" i="1" s="1"/>
  <c r="AR60" i="1"/>
  <c r="AS60" i="1" s="1"/>
  <c r="AT60" i="1" s="1"/>
  <c r="AW59" i="1"/>
  <c r="AX59" i="1" s="1"/>
  <c r="AY59" i="1" s="1"/>
  <c r="AR59" i="1"/>
  <c r="AS59" i="1" s="1"/>
  <c r="AT59" i="1" s="1"/>
  <c r="AW58" i="1"/>
  <c r="AX58" i="1" s="1"/>
  <c r="AY58" i="1" s="1"/>
  <c r="AR58" i="1"/>
  <c r="AS58" i="1" s="1"/>
  <c r="AT58" i="1" s="1"/>
  <c r="AW57" i="1"/>
  <c r="AX57" i="1" s="1"/>
  <c r="AY57" i="1" s="1"/>
  <c r="AR57" i="1"/>
  <c r="AS57" i="1" s="1"/>
  <c r="AT57" i="1" s="1"/>
  <c r="AW56" i="1"/>
  <c r="AX56" i="1" s="1"/>
  <c r="AY56" i="1" s="1"/>
  <c r="AR56" i="1"/>
  <c r="AS56" i="1" s="1"/>
  <c r="AT56" i="1" s="1"/>
  <c r="AW55" i="1"/>
  <c r="AX55" i="1" s="1"/>
  <c r="AY55" i="1" s="1"/>
  <c r="AR55" i="1"/>
  <c r="AS55" i="1" s="1"/>
  <c r="AT55" i="1" s="1"/>
  <c r="AW54" i="1"/>
  <c r="AX54" i="1" s="1"/>
  <c r="AY54" i="1" s="1"/>
  <c r="AR54" i="1"/>
  <c r="AS54" i="1" s="1"/>
  <c r="AT54" i="1" s="1"/>
  <c r="AW53" i="1"/>
  <c r="AX53" i="1" s="1"/>
  <c r="AY53" i="1" s="1"/>
  <c r="AR53" i="1"/>
  <c r="AS53" i="1" s="1"/>
  <c r="AT53" i="1" s="1"/>
  <c r="AW52" i="1"/>
  <c r="AX52" i="1" s="1"/>
  <c r="AY52" i="1" s="1"/>
  <c r="AR52" i="1"/>
  <c r="AS52" i="1" s="1"/>
  <c r="AT52" i="1" s="1"/>
  <c r="AW51" i="1"/>
  <c r="AX51" i="1" s="1"/>
  <c r="AY51" i="1" s="1"/>
  <c r="AS51" i="1"/>
  <c r="AT51" i="1" s="1"/>
  <c r="AR51" i="1"/>
  <c r="AW50" i="1"/>
  <c r="AX50" i="1" s="1"/>
  <c r="AY50" i="1" s="1"/>
  <c r="AR50" i="1"/>
  <c r="AS50" i="1" s="1"/>
  <c r="AT50" i="1" s="1"/>
  <c r="AW49" i="1"/>
  <c r="AX49" i="1" s="1"/>
  <c r="AY49" i="1" s="1"/>
  <c r="AR49" i="1"/>
  <c r="AS49" i="1" s="1"/>
  <c r="AT49" i="1" s="1"/>
  <c r="AW48" i="1"/>
  <c r="AX48" i="1" s="1"/>
  <c r="AY48" i="1" s="1"/>
  <c r="AR48" i="1"/>
  <c r="AS48" i="1" s="1"/>
  <c r="AT48" i="1" s="1"/>
  <c r="AW47" i="1"/>
  <c r="AX47" i="1" s="1"/>
  <c r="AY47" i="1" s="1"/>
  <c r="AR47" i="1"/>
  <c r="AS47" i="1" s="1"/>
  <c r="AT47" i="1" s="1"/>
  <c r="AW46" i="1"/>
  <c r="AX46" i="1" s="1"/>
  <c r="AY46" i="1" s="1"/>
  <c r="AR46" i="1"/>
  <c r="AS46" i="1" s="1"/>
  <c r="AT46" i="1" s="1"/>
  <c r="AW45" i="1"/>
  <c r="AX45" i="1" s="1"/>
  <c r="AY45" i="1" s="1"/>
  <c r="AR45" i="1"/>
  <c r="AS45" i="1" s="1"/>
  <c r="AT45" i="1" s="1"/>
  <c r="AW44" i="1"/>
  <c r="AX44" i="1" s="1"/>
  <c r="AY44" i="1" s="1"/>
  <c r="AR44" i="1"/>
  <c r="AS44" i="1" s="1"/>
  <c r="AT44" i="1" s="1"/>
  <c r="AW43" i="1"/>
  <c r="AX43" i="1" s="1"/>
  <c r="AY43" i="1" s="1"/>
  <c r="AR43" i="1"/>
  <c r="AS43" i="1" s="1"/>
  <c r="AT43" i="1" s="1"/>
  <c r="AW42" i="1"/>
  <c r="AX42" i="1" s="1"/>
  <c r="AY42" i="1" s="1"/>
  <c r="AR42" i="1"/>
  <c r="AS42" i="1" s="1"/>
  <c r="AT42" i="1" s="1"/>
  <c r="AW41" i="1"/>
  <c r="AX41" i="1" s="1"/>
  <c r="AY41" i="1" s="1"/>
  <c r="AR41" i="1"/>
  <c r="AS41" i="1" s="1"/>
  <c r="AT41" i="1" s="1"/>
  <c r="AW40" i="1"/>
  <c r="AX40" i="1" s="1"/>
  <c r="AY40" i="1" s="1"/>
  <c r="AR40" i="1"/>
  <c r="AS40" i="1" s="1"/>
  <c r="AT40" i="1" s="1"/>
  <c r="AW39" i="1"/>
  <c r="AX39" i="1" s="1"/>
  <c r="AY39" i="1" s="1"/>
  <c r="AR39" i="1"/>
  <c r="AS39" i="1" s="1"/>
  <c r="AT39" i="1" s="1"/>
  <c r="AW38" i="1"/>
  <c r="AX38" i="1" s="1"/>
  <c r="AY38" i="1" s="1"/>
  <c r="AR38" i="1"/>
  <c r="AS38" i="1" s="1"/>
  <c r="AT38" i="1" s="1"/>
  <c r="AW37" i="1"/>
  <c r="AX37" i="1" s="1"/>
  <c r="AY37" i="1" s="1"/>
  <c r="AR37" i="1"/>
  <c r="AS37" i="1" s="1"/>
  <c r="AT37" i="1" s="1"/>
  <c r="AW36" i="1"/>
  <c r="AX36" i="1" s="1"/>
  <c r="AY36" i="1" s="1"/>
  <c r="AR36" i="1"/>
  <c r="AS36" i="1" s="1"/>
  <c r="AT36" i="1" s="1"/>
  <c r="AW35" i="1"/>
  <c r="AX35" i="1" s="1"/>
  <c r="AY35" i="1" s="1"/>
  <c r="AR35" i="1"/>
  <c r="AS35" i="1" s="1"/>
  <c r="AT35" i="1" s="1"/>
  <c r="AW34" i="1"/>
  <c r="AX34" i="1" s="1"/>
  <c r="AY34" i="1" s="1"/>
  <c r="AR34" i="1"/>
  <c r="AS34" i="1" s="1"/>
  <c r="AT34" i="1" s="1"/>
  <c r="AW33" i="1"/>
  <c r="AX33" i="1" s="1"/>
  <c r="AY33" i="1" s="1"/>
  <c r="AR33" i="1"/>
  <c r="AS33" i="1" s="1"/>
  <c r="AT33" i="1" s="1"/>
  <c r="AW32" i="1"/>
  <c r="AX32" i="1" s="1"/>
  <c r="AY32" i="1" s="1"/>
  <c r="AS32" i="1"/>
  <c r="AT32" i="1" s="1"/>
  <c r="AR32" i="1"/>
  <c r="AW31" i="1"/>
  <c r="AX31" i="1" s="1"/>
  <c r="AY31" i="1" s="1"/>
  <c r="AR31" i="1"/>
  <c r="AS31" i="1" s="1"/>
  <c r="AT31" i="1" s="1"/>
  <c r="AW30" i="1"/>
  <c r="AX30" i="1" s="1"/>
  <c r="AY30" i="1" s="1"/>
  <c r="AR30" i="1"/>
  <c r="AS30" i="1" s="1"/>
  <c r="AT30" i="1" s="1"/>
  <c r="AW29" i="1"/>
  <c r="AX29" i="1" s="1"/>
  <c r="AY29" i="1" s="1"/>
  <c r="AR29" i="1"/>
  <c r="AS29" i="1" s="1"/>
  <c r="AT29" i="1" s="1"/>
  <c r="AW28" i="1"/>
  <c r="AX28" i="1" s="1"/>
  <c r="AY28" i="1" s="1"/>
  <c r="AR28" i="1"/>
  <c r="AS28" i="1" s="1"/>
  <c r="AT28" i="1" s="1"/>
  <c r="AW27" i="1"/>
  <c r="AX27" i="1" s="1"/>
  <c r="AY27" i="1" s="1"/>
  <c r="AR27" i="1"/>
  <c r="AS27" i="1" s="1"/>
  <c r="AT27" i="1" s="1"/>
  <c r="AW26" i="1"/>
  <c r="AX26" i="1" s="1"/>
  <c r="AY26" i="1" s="1"/>
  <c r="AR26" i="1"/>
  <c r="AS26" i="1" s="1"/>
  <c r="AT26" i="1" s="1"/>
  <c r="AW25" i="1"/>
  <c r="AX25" i="1" s="1"/>
  <c r="AY25" i="1" s="1"/>
  <c r="AR25" i="1"/>
  <c r="AS25" i="1" s="1"/>
  <c r="AT25" i="1" s="1"/>
  <c r="AX24" i="1"/>
  <c r="AY24" i="1" s="1"/>
  <c r="AW24" i="1"/>
  <c r="AR24" i="1"/>
  <c r="AS24" i="1" s="1"/>
  <c r="AT24" i="1" s="1"/>
  <c r="AW23" i="1"/>
  <c r="AX23" i="1" s="1"/>
  <c r="AY23" i="1" s="1"/>
  <c r="AR23" i="1"/>
  <c r="AS23" i="1" s="1"/>
  <c r="AT23" i="1" s="1"/>
  <c r="AW22" i="1"/>
  <c r="AX22" i="1" s="1"/>
  <c r="AY22" i="1" s="1"/>
  <c r="AR22" i="1"/>
  <c r="AS22" i="1" s="1"/>
  <c r="AT22" i="1" s="1"/>
  <c r="AW21" i="1"/>
  <c r="AX21" i="1" s="1"/>
  <c r="AY21" i="1" s="1"/>
  <c r="AR21" i="1"/>
  <c r="AS21" i="1" s="1"/>
  <c r="AT21" i="1" s="1"/>
  <c r="AW20" i="1"/>
  <c r="AX20" i="1" s="1"/>
  <c r="AY20" i="1" s="1"/>
  <c r="AR20" i="1"/>
  <c r="AS20" i="1" s="1"/>
  <c r="AT20" i="1" s="1"/>
  <c r="AW19" i="1"/>
  <c r="AX19" i="1" s="1"/>
  <c r="AY19" i="1" s="1"/>
  <c r="AR19" i="1"/>
  <c r="AS19" i="1" s="1"/>
  <c r="AT19" i="1" s="1"/>
  <c r="AW18" i="1"/>
  <c r="AX18" i="1" s="1"/>
  <c r="AY18" i="1" s="1"/>
  <c r="AR18" i="1"/>
  <c r="AS18" i="1" s="1"/>
  <c r="AT18" i="1" s="1"/>
  <c r="AW17" i="1"/>
  <c r="AX17" i="1" s="1"/>
  <c r="AY17" i="1" s="1"/>
  <c r="AR17" i="1"/>
  <c r="AS17" i="1" s="1"/>
  <c r="AT17" i="1" s="1"/>
  <c r="AW16" i="1"/>
  <c r="AX16" i="1" s="1"/>
  <c r="AY16" i="1" s="1"/>
  <c r="AR16" i="1"/>
  <c r="AS16" i="1" s="1"/>
  <c r="AT16" i="1" s="1"/>
  <c r="AW15" i="1"/>
  <c r="AX15" i="1" s="1"/>
  <c r="AY15" i="1" s="1"/>
  <c r="AR15" i="1"/>
  <c r="AS15" i="1" s="1"/>
  <c r="AT15" i="1" s="1"/>
  <c r="AW14" i="1"/>
  <c r="AX14" i="1" s="1"/>
  <c r="AY14" i="1" s="1"/>
  <c r="AR14" i="1"/>
  <c r="AS14" i="1" s="1"/>
  <c r="AT14" i="1" s="1"/>
  <c r="AW13" i="1"/>
  <c r="AX13" i="1" s="1"/>
  <c r="AY13" i="1" s="1"/>
  <c r="AR13" i="1"/>
  <c r="AS13" i="1" s="1"/>
  <c r="AT13" i="1" s="1"/>
  <c r="AW12" i="1"/>
  <c r="AX12" i="1" s="1"/>
  <c r="AY12" i="1" s="1"/>
  <c r="AS12" i="1"/>
  <c r="AT12" i="1" s="1"/>
  <c r="AR12" i="1"/>
  <c r="AW11" i="1"/>
  <c r="AX11" i="1" s="1"/>
  <c r="AY11" i="1" s="1"/>
  <c r="AR11" i="1"/>
  <c r="AS11" i="1" s="1"/>
  <c r="AT11" i="1" s="1"/>
  <c r="AW10" i="1"/>
  <c r="AX10" i="1" s="1"/>
  <c r="AY10" i="1" s="1"/>
  <c r="AR10" i="1"/>
  <c r="AS10" i="1" s="1"/>
  <c r="AT10" i="1" s="1"/>
  <c r="AW9" i="1"/>
  <c r="AX9" i="1" s="1"/>
  <c r="AY9" i="1" s="1"/>
  <c r="AR9" i="1"/>
  <c r="AS9" i="1" s="1"/>
  <c r="AT9" i="1" s="1"/>
  <c r="AW8" i="1"/>
  <c r="AX8" i="1" s="1"/>
  <c r="AY8" i="1" s="1"/>
  <c r="AR8" i="1"/>
  <c r="AS8" i="1" s="1"/>
  <c r="AT8" i="1" s="1"/>
  <c r="AW7" i="1"/>
  <c r="AX7" i="1" s="1"/>
  <c r="AY7" i="1" s="1"/>
  <c r="AR7" i="1"/>
  <c r="AS7" i="1" s="1"/>
  <c r="AT7" i="1" s="1"/>
  <c r="AW6" i="1"/>
  <c r="AX6" i="1" s="1"/>
  <c r="AY6" i="1" s="1"/>
  <c r="AR6" i="1"/>
  <c r="AS6" i="1" s="1"/>
  <c r="AT6" i="1" s="1"/>
  <c r="AW5" i="1"/>
  <c r="AX5" i="1" s="1"/>
  <c r="AY5" i="1" s="1"/>
  <c r="AR5" i="1"/>
  <c r="AS5" i="1" s="1"/>
  <c r="AT5" i="1" s="1"/>
  <c r="AW4" i="1"/>
  <c r="AX4" i="1" s="1"/>
  <c r="AY4" i="1" s="1"/>
  <c r="AR4" i="1"/>
  <c r="AS4" i="1" s="1"/>
  <c r="AT4" i="1" s="1"/>
  <c r="AW3" i="1"/>
  <c r="AX3" i="1" s="1"/>
  <c r="AY3" i="1" s="1"/>
  <c r="AR3" i="1"/>
  <c r="AS3" i="1" s="1"/>
  <c r="AT3" i="1" s="1"/>
  <c r="AM102" i="1"/>
  <c r="AN102" i="1" s="1"/>
  <c r="AO102" i="1" s="1"/>
  <c r="AH102" i="1"/>
  <c r="AI102" i="1" s="1"/>
  <c r="AJ102" i="1" s="1"/>
  <c r="AC102" i="1"/>
  <c r="AD102" i="1" s="1"/>
  <c r="AE102" i="1" s="1"/>
  <c r="X102" i="1"/>
  <c r="Y102" i="1" s="1"/>
  <c r="Z102" i="1" s="1"/>
  <c r="AM101" i="1"/>
  <c r="AN101" i="1" s="1"/>
  <c r="AO101" i="1" s="1"/>
  <c r="AH101" i="1"/>
  <c r="AI101" i="1" s="1"/>
  <c r="AJ101" i="1" s="1"/>
  <c r="AC101" i="1"/>
  <c r="AD101" i="1" s="1"/>
  <c r="AE101" i="1" s="1"/>
  <c r="X101" i="1"/>
  <c r="Y101" i="1" s="1"/>
  <c r="Z101" i="1" s="1"/>
  <c r="AM100" i="1"/>
  <c r="AN100" i="1" s="1"/>
  <c r="AO100" i="1" s="1"/>
  <c r="AH100" i="1"/>
  <c r="AI100" i="1" s="1"/>
  <c r="AJ100" i="1" s="1"/>
  <c r="AC100" i="1"/>
  <c r="AD100" i="1" s="1"/>
  <c r="AE100" i="1" s="1"/>
  <c r="X100" i="1"/>
  <c r="Y100" i="1" s="1"/>
  <c r="Z100" i="1" s="1"/>
  <c r="AM99" i="1"/>
  <c r="AN99" i="1" s="1"/>
  <c r="AO99" i="1" s="1"/>
  <c r="AH99" i="1"/>
  <c r="AI99" i="1" s="1"/>
  <c r="AJ99" i="1" s="1"/>
  <c r="AC99" i="1"/>
  <c r="AD99" i="1" s="1"/>
  <c r="AE99" i="1" s="1"/>
  <c r="X99" i="1"/>
  <c r="Y99" i="1" s="1"/>
  <c r="Z99" i="1" s="1"/>
  <c r="AM98" i="1"/>
  <c r="AN98" i="1" s="1"/>
  <c r="AO98" i="1" s="1"/>
  <c r="AH98" i="1"/>
  <c r="AI98" i="1" s="1"/>
  <c r="AJ98" i="1" s="1"/>
  <c r="AC98" i="1"/>
  <c r="AD98" i="1" s="1"/>
  <c r="AE98" i="1" s="1"/>
  <c r="X98" i="1"/>
  <c r="Y98" i="1" s="1"/>
  <c r="Z98" i="1" s="1"/>
  <c r="AM97" i="1"/>
  <c r="AN97" i="1" s="1"/>
  <c r="AO97" i="1" s="1"/>
  <c r="AH97" i="1"/>
  <c r="AI97" i="1" s="1"/>
  <c r="AJ97" i="1" s="1"/>
  <c r="AC97" i="1"/>
  <c r="AD97" i="1" s="1"/>
  <c r="AE97" i="1" s="1"/>
  <c r="X97" i="1"/>
  <c r="Y97" i="1" s="1"/>
  <c r="Z97" i="1" s="1"/>
  <c r="AM96" i="1"/>
  <c r="AN96" i="1" s="1"/>
  <c r="AO96" i="1" s="1"/>
  <c r="AH96" i="1"/>
  <c r="AI96" i="1" s="1"/>
  <c r="AJ96" i="1" s="1"/>
  <c r="AC96" i="1"/>
  <c r="AD96" i="1" s="1"/>
  <c r="AE96" i="1" s="1"/>
  <c r="X96" i="1"/>
  <c r="Y96" i="1" s="1"/>
  <c r="Z96" i="1" s="1"/>
  <c r="AM95" i="1"/>
  <c r="AN95" i="1" s="1"/>
  <c r="AO95" i="1" s="1"/>
  <c r="AH95" i="1"/>
  <c r="AI95" i="1" s="1"/>
  <c r="AJ95" i="1" s="1"/>
  <c r="AC95" i="1"/>
  <c r="AD95" i="1" s="1"/>
  <c r="AE95" i="1" s="1"/>
  <c r="Y95" i="1"/>
  <c r="Z95" i="1" s="1"/>
  <c r="X95" i="1"/>
  <c r="AM94" i="1"/>
  <c r="AN94" i="1" s="1"/>
  <c r="AO94" i="1" s="1"/>
  <c r="AH94" i="1"/>
  <c r="AI94" i="1" s="1"/>
  <c r="AJ94" i="1" s="1"/>
  <c r="AC94" i="1"/>
  <c r="AD94" i="1" s="1"/>
  <c r="AE94" i="1" s="1"/>
  <c r="X94" i="1"/>
  <c r="Y94" i="1" s="1"/>
  <c r="Z94" i="1" s="1"/>
  <c r="AM93" i="1"/>
  <c r="AN93" i="1" s="1"/>
  <c r="AO93" i="1" s="1"/>
  <c r="AH93" i="1"/>
  <c r="AI93" i="1" s="1"/>
  <c r="AJ93" i="1" s="1"/>
  <c r="AC93" i="1"/>
  <c r="AD93" i="1" s="1"/>
  <c r="AE93" i="1" s="1"/>
  <c r="X93" i="1"/>
  <c r="Y93" i="1" s="1"/>
  <c r="Z93" i="1" s="1"/>
  <c r="AM92" i="1"/>
  <c r="AN92" i="1" s="1"/>
  <c r="AO92" i="1" s="1"/>
  <c r="AH92" i="1"/>
  <c r="AI92" i="1" s="1"/>
  <c r="AJ92" i="1" s="1"/>
  <c r="AC92" i="1"/>
  <c r="AD92" i="1" s="1"/>
  <c r="AE92" i="1" s="1"/>
  <c r="X92" i="1"/>
  <c r="Y92" i="1" s="1"/>
  <c r="Z92" i="1" s="1"/>
  <c r="AM91" i="1"/>
  <c r="AN91" i="1" s="1"/>
  <c r="AO91" i="1" s="1"/>
  <c r="AH91" i="1"/>
  <c r="AI91" i="1" s="1"/>
  <c r="AJ91" i="1" s="1"/>
  <c r="AC91" i="1"/>
  <c r="AD91" i="1" s="1"/>
  <c r="AE91" i="1" s="1"/>
  <c r="X91" i="1"/>
  <c r="Y91" i="1" s="1"/>
  <c r="Z91" i="1" s="1"/>
  <c r="AN90" i="1"/>
  <c r="AO90" i="1" s="1"/>
  <c r="AM90" i="1"/>
  <c r="AH90" i="1"/>
  <c r="AI90" i="1" s="1"/>
  <c r="AJ90" i="1" s="1"/>
  <c r="AC90" i="1"/>
  <c r="AD90" i="1" s="1"/>
  <c r="AE90" i="1" s="1"/>
  <c r="X90" i="1"/>
  <c r="Y90" i="1" s="1"/>
  <c r="Z90" i="1" s="1"/>
  <c r="AM89" i="1"/>
  <c r="AN89" i="1" s="1"/>
  <c r="AO89" i="1" s="1"/>
  <c r="AH89" i="1"/>
  <c r="AI89" i="1" s="1"/>
  <c r="AJ89" i="1" s="1"/>
  <c r="AC89" i="1"/>
  <c r="AD89" i="1" s="1"/>
  <c r="AE89" i="1" s="1"/>
  <c r="X89" i="1"/>
  <c r="Y89" i="1" s="1"/>
  <c r="Z89" i="1" s="1"/>
  <c r="AM88" i="1"/>
  <c r="AN88" i="1" s="1"/>
  <c r="AO88" i="1" s="1"/>
  <c r="AH88" i="1"/>
  <c r="AI88" i="1" s="1"/>
  <c r="AJ88" i="1" s="1"/>
  <c r="AD88" i="1"/>
  <c r="AE88" i="1" s="1"/>
  <c r="AC88" i="1"/>
  <c r="X88" i="1"/>
  <c r="Y88" i="1" s="1"/>
  <c r="Z88" i="1" s="1"/>
  <c r="AM87" i="1"/>
  <c r="AN87" i="1" s="1"/>
  <c r="AO87" i="1" s="1"/>
  <c r="AH87" i="1"/>
  <c r="AI87" i="1" s="1"/>
  <c r="AJ87" i="1" s="1"/>
  <c r="AC87" i="1"/>
  <c r="AD87" i="1" s="1"/>
  <c r="AE87" i="1" s="1"/>
  <c r="X87" i="1"/>
  <c r="Y87" i="1" s="1"/>
  <c r="Z87" i="1" s="1"/>
  <c r="AM86" i="1"/>
  <c r="AN86" i="1" s="1"/>
  <c r="AO86" i="1" s="1"/>
  <c r="AH86" i="1"/>
  <c r="AI86" i="1" s="1"/>
  <c r="AJ86" i="1" s="1"/>
  <c r="AC86" i="1"/>
  <c r="AD86" i="1" s="1"/>
  <c r="AE86" i="1" s="1"/>
  <c r="X86" i="1"/>
  <c r="Y86" i="1" s="1"/>
  <c r="Z86" i="1" s="1"/>
  <c r="AM85" i="1"/>
  <c r="AN85" i="1" s="1"/>
  <c r="AO85" i="1" s="1"/>
  <c r="AH85" i="1"/>
  <c r="AI85" i="1" s="1"/>
  <c r="AJ85" i="1" s="1"/>
  <c r="AC85" i="1"/>
  <c r="AD85" i="1" s="1"/>
  <c r="AE85" i="1" s="1"/>
  <c r="X85" i="1"/>
  <c r="Y85" i="1" s="1"/>
  <c r="Z85" i="1" s="1"/>
  <c r="AM84" i="1"/>
  <c r="AN84" i="1" s="1"/>
  <c r="AO84" i="1" s="1"/>
  <c r="AH84" i="1"/>
  <c r="AI84" i="1" s="1"/>
  <c r="AJ84" i="1" s="1"/>
  <c r="AC84" i="1"/>
  <c r="AD84" i="1" s="1"/>
  <c r="AE84" i="1" s="1"/>
  <c r="X84" i="1"/>
  <c r="Y84" i="1" s="1"/>
  <c r="Z84" i="1" s="1"/>
  <c r="AM83" i="1"/>
  <c r="AN83" i="1" s="1"/>
  <c r="AO83" i="1" s="1"/>
  <c r="AH83" i="1"/>
  <c r="AI83" i="1" s="1"/>
  <c r="AJ83" i="1" s="1"/>
  <c r="AC83" i="1"/>
  <c r="AD83" i="1" s="1"/>
  <c r="AE83" i="1" s="1"/>
  <c r="X83" i="1"/>
  <c r="Y83" i="1" s="1"/>
  <c r="Z83" i="1" s="1"/>
  <c r="AM82" i="1"/>
  <c r="AN82" i="1" s="1"/>
  <c r="AO82" i="1" s="1"/>
  <c r="AH82" i="1"/>
  <c r="AI82" i="1" s="1"/>
  <c r="AJ82" i="1" s="1"/>
  <c r="AC82" i="1"/>
  <c r="AD82" i="1" s="1"/>
  <c r="AE82" i="1" s="1"/>
  <c r="X82" i="1"/>
  <c r="Y82" i="1" s="1"/>
  <c r="Z82" i="1" s="1"/>
  <c r="AM81" i="1"/>
  <c r="AN81" i="1" s="1"/>
  <c r="AO81" i="1" s="1"/>
  <c r="AH81" i="1"/>
  <c r="AI81" i="1" s="1"/>
  <c r="AJ81" i="1" s="1"/>
  <c r="AC81" i="1"/>
  <c r="AD81" i="1" s="1"/>
  <c r="AE81" i="1" s="1"/>
  <c r="X81" i="1"/>
  <c r="Y81" i="1" s="1"/>
  <c r="Z81" i="1" s="1"/>
  <c r="AN80" i="1"/>
  <c r="AO80" i="1" s="1"/>
  <c r="AM80" i="1"/>
  <c r="AH80" i="1"/>
  <c r="AI80" i="1" s="1"/>
  <c r="AJ80" i="1" s="1"/>
  <c r="AC80" i="1"/>
  <c r="AD80" i="1" s="1"/>
  <c r="AE80" i="1" s="1"/>
  <c r="X80" i="1"/>
  <c r="Y80" i="1" s="1"/>
  <c r="Z80" i="1" s="1"/>
  <c r="AM79" i="1"/>
  <c r="AN79" i="1" s="1"/>
  <c r="AO79" i="1" s="1"/>
  <c r="AH79" i="1"/>
  <c r="AI79" i="1" s="1"/>
  <c r="AJ79" i="1" s="1"/>
  <c r="AC79" i="1"/>
  <c r="AD79" i="1" s="1"/>
  <c r="AE79" i="1" s="1"/>
  <c r="X79" i="1"/>
  <c r="Y79" i="1" s="1"/>
  <c r="Z79" i="1" s="1"/>
  <c r="AM78" i="1"/>
  <c r="AN78" i="1" s="1"/>
  <c r="AO78" i="1" s="1"/>
  <c r="AH78" i="1"/>
  <c r="AI78" i="1" s="1"/>
  <c r="AJ78" i="1" s="1"/>
  <c r="AC78" i="1"/>
  <c r="AD78" i="1" s="1"/>
  <c r="AE78" i="1" s="1"/>
  <c r="X78" i="1"/>
  <c r="Y78" i="1" s="1"/>
  <c r="Z78" i="1" s="1"/>
  <c r="AM77" i="1"/>
  <c r="AN77" i="1" s="1"/>
  <c r="AO77" i="1" s="1"/>
  <c r="AH77" i="1"/>
  <c r="AI77" i="1" s="1"/>
  <c r="AJ77" i="1" s="1"/>
  <c r="AC77" i="1"/>
  <c r="AD77" i="1" s="1"/>
  <c r="AE77" i="1" s="1"/>
  <c r="X77" i="1"/>
  <c r="Y77" i="1" s="1"/>
  <c r="Z77" i="1" s="1"/>
  <c r="AM76" i="1"/>
  <c r="AN76" i="1" s="1"/>
  <c r="AO76" i="1" s="1"/>
  <c r="AH76" i="1"/>
  <c r="AI76" i="1" s="1"/>
  <c r="AJ76" i="1" s="1"/>
  <c r="AC76" i="1"/>
  <c r="AD76" i="1" s="1"/>
  <c r="AE76" i="1" s="1"/>
  <c r="X76" i="1"/>
  <c r="Y76" i="1" s="1"/>
  <c r="Z76" i="1" s="1"/>
  <c r="AM75" i="1"/>
  <c r="AN75" i="1" s="1"/>
  <c r="AO75" i="1" s="1"/>
  <c r="AH75" i="1"/>
  <c r="AI75" i="1" s="1"/>
  <c r="AJ75" i="1" s="1"/>
  <c r="AC75" i="1"/>
  <c r="AD75" i="1" s="1"/>
  <c r="AE75" i="1" s="1"/>
  <c r="X75" i="1"/>
  <c r="Y75" i="1" s="1"/>
  <c r="Z75" i="1" s="1"/>
  <c r="AM74" i="1"/>
  <c r="AN74" i="1" s="1"/>
  <c r="AO74" i="1" s="1"/>
  <c r="AH74" i="1"/>
  <c r="AI74" i="1" s="1"/>
  <c r="AJ74" i="1" s="1"/>
  <c r="AC74" i="1"/>
  <c r="AD74" i="1" s="1"/>
  <c r="AE74" i="1" s="1"/>
  <c r="X74" i="1"/>
  <c r="Y74" i="1" s="1"/>
  <c r="Z74" i="1" s="1"/>
  <c r="AM73" i="1"/>
  <c r="AN73" i="1" s="1"/>
  <c r="AO73" i="1" s="1"/>
  <c r="AH73" i="1"/>
  <c r="AI73" i="1" s="1"/>
  <c r="AJ73" i="1" s="1"/>
  <c r="AC73" i="1"/>
  <c r="AD73" i="1" s="1"/>
  <c r="AE73" i="1" s="1"/>
  <c r="X73" i="1"/>
  <c r="Y73" i="1" s="1"/>
  <c r="Z73" i="1" s="1"/>
  <c r="AN72" i="1"/>
  <c r="AO72" i="1" s="1"/>
  <c r="AM72" i="1"/>
  <c r="AH72" i="1"/>
  <c r="AI72" i="1" s="1"/>
  <c r="AJ72" i="1" s="1"/>
  <c r="AC72" i="1"/>
  <c r="AD72" i="1" s="1"/>
  <c r="AE72" i="1" s="1"/>
  <c r="X72" i="1"/>
  <c r="Y72" i="1" s="1"/>
  <c r="Z72" i="1" s="1"/>
  <c r="AM71" i="1"/>
  <c r="AN71" i="1" s="1"/>
  <c r="AO71" i="1" s="1"/>
  <c r="AH71" i="1"/>
  <c r="AI71" i="1" s="1"/>
  <c r="AJ71" i="1" s="1"/>
  <c r="AC71" i="1"/>
  <c r="AD71" i="1" s="1"/>
  <c r="AE71" i="1" s="1"/>
  <c r="X71" i="1"/>
  <c r="Y71" i="1" s="1"/>
  <c r="Z71" i="1" s="1"/>
  <c r="AM70" i="1"/>
  <c r="AN70" i="1" s="1"/>
  <c r="AO70" i="1" s="1"/>
  <c r="AH70" i="1"/>
  <c r="AI70" i="1" s="1"/>
  <c r="AJ70" i="1" s="1"/>
  <c r="AC70" i="1"/>
  <c r="AD70" i="1" s="1"/>
  <c r="AE70" i="1" s="1"/>
  <c r="X70" i="1"/>
  <c r="Y70" i="1" s="1"/>
  <c r="Z70" i="1" s="1"/>
  <c r="AN69" i="1"/>
  <c r="AO69" i="1" s="1"/>
  <c r="AM69" i="1"/>
  <c r="AH69" i="1"/>
  <c r="AI69" i="1" s="1"/>
  <c r="AJ69" i="1" s="1"/>
  <c r="AC69" i="1"/>
  <c r="AD69" i="1" s="1"/>
  <c r="AE69" i="1" s="1"/>
  <c r="X69" i="1"/>
  <c r="Y69" i="1" s="1"/>
  <c r="Z69" i="1" s="1"/>
  <c r="AM68" i="1"/>
  <c r="AN68" i="1" s="1"/>
  <c r="AO68" i="1" s="1"/>
  <c r="AH68" i="1"/>
  <c r="AI68" i="1" s="1"/>
  <c r="AJ68" i="1" s="1"/>
  <c r="AC68" i="1"/>
  <c r="AD68" i="1" s="1"/>
  <c r="AE68" i="1" s="1"/>
  <c r="X68" i="1"/>
  <c r="Y68" i="1" s="1"/>
  <c r="Z68" i="1" s="1"/>
  <c r="AM67" i="1"/>
  <c r="AN67" i="1" s="1"/>
  <c r="AO67" i="1" s="1"/>
  <c r="AH67" i="1"/>
  <c r="AI67" i="1" s="1"/>
  <c r="AJ67" i="1" s="1"/>
  <c r="AC67" i="1"/>
  <c r="AD67" i="1" s="1"/>
  <c r="AE67" i="1" s="1"/>
  <c r="X67" i="1"/>
  <c r="Y67" i="1" s="1"/>
  <c r="Z67" i="1" s="1"/>
  <c r="AN66" i="1"/>
  <c r="AO66" i="1" s="1"/>
  <c r="AM66" i="1"/>
  <c r="AH66" i="1"/>
  <c r="AI66" i="1" s="1"/>
  <c r="AJ66" i="1" s="1"/>
  <c r="AC66" i="1"/>
  <c r="AD66" i="1" s="1"/>
  <c r="AE66" i="1" s="1"/>
  <c r="X66" i="1"/>
  <c r="Y66" i="1" s="1"/>
  <c r="Z66" i="1" s="1"/>
  <c r="AM65" i="1"/>
  <c r="AN65" i="1" s="1"/>
  <c r="AO65" i="1" s="1"/>
  <c r="AH65" i="1"/>
  <c r="AI65" i="1" s="1"/>
  <c r="AJ65" i="1" s="1"/>
  <c r="AC65" i="1"/>
  <c r="AD65" i="1" s="1"/>
  <c r="AE65" i="1" s="1"/>
  <c r="X65" i="1"/>
  <c r="Y65" i="1" s="1"/>
  <c r="Z65" i="1" s="1"/>
  <c r="AM64" i="1"/>
  <c r="AN64" i="1" s="1"/>
  <c r="AO64" i="1" s="1"/>
  <c r="AH64" i="1"/>
  <c r="AI64" i="1" s="1"/>
  <c r="AJ64" i="1" s="1"/>
  <c r="AC64" i="1"/>
  <c r="AD64" i="1" s="1"/>
  <c r="AE64" i="1" s="1"/>
  <c r="X64" i="1"/>
  <c r="Y64" i="1" s="1"/>
  <c r="Z64" i="1" s="1"/>
  <c r="AM63" i="1"/>
  <c r="AN63" i="1" s="1"/>
  <c r="AO63" i="1" s="1"/>
  <c r="AH63" i="1"/>
  <c r="AI63" i="1" s="1"/>
  <c r="AJ63" i="1" s="1"/>
  <c r="AC63" i="1"/>
  <c r="AD63" i="1" s="1"/>
  <c r="AE63" i="1" s="1"/>
  <c r="X63" i="1"/>
  <c r="Y63" i="1" s="1"/>
  <c r="Z63" i="1" s="1"/>
  <c r="AM62" i="1"/>
  <c r="AN62" i="1" s="1"/>
  <c r="AO62" i="1" s="1"/>
  <c r="AH62" i="1"/>
  <c r="AI62" i="1" s="1"/>
  <c r="AJ62" i="1" s="1"/>
  <c r="AC62" i="1"/>
  <c r="AD62" i="1" s="1"/>
  <c r="AE62" i="1" s="1"/>
  <c r="X62" i="1"/>
  <c r="Y62" i="1" s="1"/>
  <c r="Z62" i="1" s="1"/>
  <c r="AN61" i="1"/>
  <c r="AO61" i="1" s="1"/>
  <c r="AM61" i="1"/>
  <c r="AH61" i="1"/>
  <c r="AI61" i="1" s="1"/>
  <c r="AJ61" i="1" s="1"/>
  <c r="AC61" i="1"/>
  <c r="AD61" i="1" s="1"/>
  <c r="AE61" i="1" s="1"/>
  <c r="X61" i="1"/>
  <c r="Y61" i="1" s="1"/>
  <c r="Z61" i="1" s="1"/>
  <c r="AM60" i="1"/>
  <c r="AN60" i="1" s="1"/>
  <c r="AO60" i="1" s="1"/>
  <c r="AH60" i="1"/>
  <c r="AI60" i="1" s="1"/>
  <c r="AJ60" i="1" s="1"/>
  <c r="AC60" i="1"/>
  <c r="AD60" i="1" s="1"/>
  <c r="AE60" i="1" s="1"/>
  <c r="X60" i="1"/>
  <c r="Y60" i="1" s="1"/>
  <c r="Z60" i="1" s="1"/>
  <c r="AM59" i="1"/>
  <c r="AN59" i="1" s="1"/>
  <c r="AO59" i="1" s="1"/>
  <c r="AH59" i="1"/>
  <c r="AI59" i="1" s="1"/>
  <c r="AJ59" i="1" s="1"/>
  <c r="AC59" i="1"/>
  <c r="AD59" i="1" s="1"/>
  <c r="AE59" i="1" s="1"/>
  <c r="X59" i="1"/>
  <c r="Y59" i="1" s="1"/>
  <c r="Z59" i="1" s="1"/>
  <c r="AM58" i="1"/>
  <c r="AN58" i="1" s="1"/>
  <c r="AO58" i="1" s="1"/>
  <c r="AH58" i="1"/>
  <c r="AI58" i="1" s="1"/>
  <c r="AJ58" i="1" s="1"/>
  <c r="AC58" i="1"/>
  <c r="AD58" i="1" s="1"/>
  <c r="AE58" i="1" s="1"/>
  <c r="X58" i="1"/>
  <c r="Y58" i="1" s="1"/>
  <c r="Z58" i="1" s="1"/>
  <c r="AM57" i="1"/>
  <c r="AN57" i="1" s="1"/>
  <c r="AO57" i="1" s="1"/>
  <c r="AH57" i="1"/>
  <c r="AI57" i="1" s="1"/>
  <c r="AJ57" i="1" s="1"/>
  <c r="AC57" i="1"/>
  <c r="AD57" i="1" s="1"/>
  <c r="AE57" i="1" s="1"/>
  <c r="X57" i="1"/>
  <c r="Y57" i="1" s="1"/>
  <c r="Z57" i="1" s="1"/>
  <c r="AM56" i="1"/>
  <c r="AN56" i="1" s="1"/>
  <c r="AO56" i="1" s="1"/>
  <c r="AH56" i="1"/>
  <c r="AI56" i="1" s="1"/>
  <c r="AJ56" i="1" s="1"/>
  <c r="AC56" i="1"/>
  <c r="AD56" i="1" s="1"/>
  <c r="AE56" i="1" s="1"/>
  <c r="X56" i="1"/>
  <c r="Y56" i="1" s="1"/>
  <c r="Z56" i="1" s="1"/>
  <c r="AM55" i="1"/>
  <c r="AN55" i="1" s="1"/>
  <c r="AO55" i="1" s="1"/>
  <c r="AH55" i="1"/>
  <c r="AI55" i="1" s="1"/>
  <c r="AJ55" i="1" s="1"/>
  <c r="AC55" i="1"/>
  <c r="AD55" i="1" s="1"/>
  <c r="AE55" i="1" s="1"/>
  <c r="X55" i="1"/>
  <c r="Y55" i="1" s="1"/>
  <c r="Z55" i="1" s="1"/>
  <c r="AM54" i="1"/>
  <c r="AN54" i="1" s="1"/>
  <c r="AO54" i="1" s="1"/>
  <c r="AH54" i="1"/>
  <c r="AI54" i="1" s="1"/>
  <c r="AJ54" i="1" s="1"/>
  <c r="AC54" i="1"/>
  <c r="AD54" i="1" s="1"/>
  <c r="AE54" i="1" s="1"/>
  <c r="X54" i="1"/>
  <c r="Y54" i="1" s="1"/>
  <c r="Z54" i="1" s="1"/>
  <c r="AM53" i="1"/>
  <c r="AN53" i="1" s="1"/>
  <c r="AO53" i="1" s="1"/>
  <c r="AH53" i="1"/>
  <c r="AI53" i="1" s="1"/>
  <c r="AJ53" i="1" s="1"/>
  <c r="AC53" i="1"/>
  <c r="AD53" i="1" s="1"/>
  <c r="AE53" i="1" s="1"/>
  <c r="X53" i="1"/>
  <c r="Y53" i="1" s="1"/>
  <c r="Z53" i="1" s="1"/>
  <c r="AM52" i="1"/>
  <c r="AN52" i="1" s="1"/>
  <c r="AO52" i="1" s="1"/>
  <c r="AH52" i="1"/>
  <c r="AI52" i="1" s="1"/>
  <c r="AJ52" i="1" s="1"/>
  <c r="AC52" i="1"/>
  <c r="AD52" i="1" s="1"/>
  <c r="AE52" i="1" s="1"/>
  <c r="X52" i="1"/>
  <c r="Y52" i="1" s="1"/>
  <c r="Z52" i="1" s="1"/>
  <c r="AM51" i="1"/>
  <c r="AN51" i="1" s="1"/>
  <c r="AO51" i="1" s="1"/>
  <c r="AH51" i="1"/>
  <c r="AI51" i="1" s="1"/>
  <c r="AJ51" i="1" s="1"/>
  <c r="AC51" i="1"/>
  <c r="AD51" i="1" s="1"/>
  <c r="AE51" i="1" s="1"/>
  <c r="X51" i="1"/>
  <c r="Y51" i="1" s="1"/>
  <c r="Z51" i="1" s="1"/>
  <c r="AM50" i="1"/>
  <c r="AN50" i="1" s="1"/>
  <c r="AO50" i="1" s="1"/>
  <c r="AH50" i="1"/>
  <c r="AI50" i="1" s="1"/>
  <c r="AJ50" i="1" s="1"/>
  <c r="AC50" i="1"/>
  <c r="AD50" i="1" s="1"/>
  <c r="AE50" i="1" s="1"/>
  <c r="X50" i="1"/>
  <c r="Y50" i="1" s="1"/>
  <c r="Z50" i="1" s="1"/>
  <c r="AM49" i="1"/>
  <c r="AN49" i="1" s="1"/>
  <c r="AO49" i="1" s="1"/>
  <c r="AH49" i="1"/>
  <c r="AI49" i="1" s="1"/>
  <c r="AJ49" i="1" s="1"/>
  <c r="AC49" i="1"/>
  <c r="AD49" i="1" s="1"/>
  <c r="AE49" i="1" s="1"/>
  <c r="X49" i="1"/>
  <c r="Y49" i="1" s="1"/>
  <c r="Z49" i="1" s="1"/>
  <c r="AM48" i="1"/>
  <c r="AN48" i="1" s="1"/>
  <c r="AO48" i="1" s="1"/>
  <c r="AH48" i="1"/>
  <c r="AI48" i="1" s="1"/>
  <c r="AJ48" i="1" s="1"/>
  <c r="AC48" i="1"/>
  <c r="AD48" i="1" s="1"/>
  <c r="AE48" i="1" s="1"/>
  <c r="X48" i="1"/>
  <c r="Y48" i="1" s="1"/>
  <c r="Z48" i="1" s="1"/>
  <c r="AM47" i="1"/>
  <c r="AN47" i="1" s="1"/>
  <c r="AO47" i="1" s="1"/>
  <c r="AH47" i="1"/>
  <c r="AI47" i="1" s="1"/>
  <c r="AJ47" i="1" s="1"/>
  <c r="AC47" i="1"/>
  <c r="AD47" i="1" s="1"/>
  <c r="AE47" i="1" s="1"/>
  <c r="Y47" i="1"/>
  <c r="Z47" i="1" s="1"/>
  <c r="X47" i="1"/>
  <c r="AM46" i="1"/>
  <c r="AN46" i="1" s="1"/>
  <c r="AO46" i="1" s="1"/>
  <c r="AH46" i="1"/>
  <c r="AI46" i="1" s="1"/>
  <c r="AJ46" i="1" s="1"/>
  <c r="AC46" i="1"/>
  <c r="AD46" i="1" s="1"/>
  <c r="AE46" i="1" s="1"/>
  <c r="X46" i="1"/>
  <c r="Y46" i="1" s="1"/>
  <c r="Z46" i="1" s="1"/>
  <c r="AM45" i="1"/>
  <c r="AN45" i="1" s="1"/>
  <c r="AO45" i="1" s="1"/>
  <c r="AH45" i="1"/>
  <c r="AI45" i="1" s="1"/>
  <c r="AJ45" i="1" s="1"/>
  <c r="AC45" i="1"/>
  <c r="AD45" i="1" s="1"/>
  <c r="AE45" i="1" s="1"/>
  <c r="X45" i="1"/>
  <c r="Y45" i="1" s="1"/>
  <c r="Z45" i="1" s="1"/>
  <c r="AM44" i="1"/>
  <c r="AN44" i="1" s="1"/>
  <c r="AO44" i="1" s="1"/>
  <c r="AH44" i="1"/>
  <c r="AI44" i="1" s="1"/>
  <c r="AJ44" i="1" s="1"/>
  <c r="AC44" i="1"/>
  <c r="AD44" i="1" s="1"/>
  <c r="AE44" i="1" s="1"/>
  <c r="X44" i="1"/>
  <c r="Y44" i="1" s="1"/>
  <c r="Z44" i="1" s="1"/>
  <c r="AM43" i="1"/>
  <c r="AN43" i="1" s="1"/>
  <c r="AO43" i="1" s="1"/>
  <c r="AH43" i="1"/>
  <c r="AI43" i="1" s="1"/>
  <c r="AJ43" i="1" s="1"/>
  <c r="AC43" i="1"/>
  <c r="AD43" i="1" s="1"/>
  <c r="AE43" i="1" s="1"/>
  <c r="X43" i="1"/>
  <c r="Y43" i="1" s="1"/>
  <c r="Z43" i="1" s="1"/>
  <c r="AM42" i="1"/>
  <c r="AN42" i="1" s="1"/>
  <c r="AO42" i="1" s="1"/>
  <c r="AH42" i="1"/>
  <c r="AI42" i="1" s="1"/>
  <c r="AJ42" i="1" s="1"/>
  <c r="AD42" i="1"/>
  <c r="AE42" i="1" s="1"/>
  <c r="AC42" i="1"/>
  <c r="X42" i="1"/>
  <c r="Y42" i="1" s="1"/>
  <c r="Z42" i="1" s="1"/>
  <c r="AM41" i="1"/>
  <c r="AN41" i="1" s="1"/>
  <c r="AO41" i="1" s="1"/>
  <c r="AH41" i="1"/>
  <c r="AI41" i="1" s="1"/>
  <c r="AJ41" i="1" s="1"/>
  <c r="AC41" i="1"/>
  <c r="AD41" i="1" s="1"/>
  <c r="AE41" i="1" s="1"/>
  <c r="X41" i="1"/>
  <c r="Y41" i="1" s="1"/>
  <c r="Z41" i="1" s="1"/>
  <c r="AM40" i="1"/>
  <c r="AN40" i="1" s="1"/>
  <c r="AO40" i="1" s="1"/>
  <c r="AH40" i="1"/>
  <c r="AI40" i="1" s="1"/>
  <c r="AJ40" i="1" s="1"/>
  <c r="AC40" i="1"/>
  <c r="AD40" i="1" s="1"/>
  <c r="AE40" i="1" s="1"/>
  <c r="X40" i="1"/>
  <c r="Y40" i="1" s="1"/>
  <c r="Z40" i="1" s="1"/>
  <c r="AM39" i="1"/>
  <c r="AN39" i="1" s="1"/>
  <c r="AO39" i="1" s="1"/>
  <c r="AH39" i="1"/>
  <c r="AI39" i="1" s="1"/>
  <c r="AJ39" i="1" s="1"/>
  <c r="AC39" i="1"/>
  <c r="AD39" i="1" s="1"/>
  <c r="AE39" i="1" s="1"/>
  <c r="X39" i="1"/>
  <c r="Y39" i="1" s="1"/>
  <c r="Z39" i="1" s="1"/>
  <c r="AM38" i="1"/>
  <c r="AN38" i="1" s="1"/>
  <c r="AO38" i="1" s="1"/>
  <c r="AH38" i="1"/>
  <c r="AI38" i="1" s="1"/>
  <c r="AJ38" i="1" s="1"/>
  <c r="AC38" i="1"/>
  <c r="AD38" i="1" s="1"/>
  <c r="AE38" i="1" s="1"/>
  <c r="X38" i="1"/>
  <c r="Y38" i="1" s="1"/>
  <c r="Z38" i="1" s="1"/>
  <c r="AM37" i="1"/>
  <c r="AN37" i="1" s="1"/>
  <c r="AO37" i="1" s="1"/>
  <c r="AH37" i="1"/>
  <c r="AI37" i="1" s="1"/>
  <c r="AJ37" i="1" s="1"/>
  <c r="AC37" i="1"/>
  <c r="AD37" i="1" s="1"/>
  <c r="AE37" i="1" s="1"/>
  <c r="X37" i="1"/>
  <c r="Y37" i="1" s="1"/>
  <c r="Z37" i="1" s="1"/>
  <c r="AM36" i="1"/>
  <c r="AN36" i="1" s="1"/>
  <c r="AO36" i="1" s="1"/>
  <c r="AH36" i="1"/>
  <c r="AI36" i="1" s="1"/>
  <c r="AJ36" i="1" s="1"/>
  <c r="AC36" i="1"/>
  <c r="AD36" i="1" s="1"/>
  <c r="AE36" i="1" s="1"/>
  <c r="X36" i="1"/>
  <c r="Y36" i="1" s="1"/>
  <c r="Z36" i="1" s="1"/>
  <c r="AM35" i="1"/>
  <c r="AN35" i="1" s="1"/>
  <c r="AO35" i="1" s="1"/>
  <c r="AH35" i="1"/>
  <c r="AI35" i="1" s="1"/>
  <c r="AJ35" i="1" s="1"/>
  <c r="AC35" i="1"/>
  <c r="AD35" i="1" s="1"/>
  <c r="AE35" i="1" s="1"/>
  <c r="X35" i="1"/>
  <c r="Y35" i="1" s="1"/>
  <c r="Z35" i="1" s="1"/>
  <c r="AM34" i="1"/>
  <c r="AN34" i="1" s="1"/>
  <c r="AO34" i="1" s="1"/>
  <c r="AH34" i="1"/>
  <c r="AI34" i="1" s="1"/>
  <c r="AJ34" i="1" s="1"/>
  <c r="AC34" i="1"/>
  <c r="AD34" i="1" s="1"/>
  <c r="AE34" i="1" s="1"/>
  <c r="X34" i="1"/>
  <c r="Y34" i="1" s="1"/>
  <c r="Z34" i="1" s="1"/>
  <c r="AM33" i="1"/>
  <c r="AN33" i="1" s="1"/>
  <c r="AO33" i="1" s="1"/>
  <c r="AI33" i="1"/>
  <c r="AJ33" i="1" s="1"/>
  <c r="AH33" i="1"/>
  <c r="AC33" i="1"/>
  <c r="AD33" i="1" s="1"/>
  <c r="AE33" i="1" s="1"/>
  <c r="X33" i="1"/>
  <c r="Y33" i="1" s="1"/>
  <c r="Z33" i="1" s="1"/>
  <c r="AM32" i="1"/>
  <c r="AN32" i="1" s="1"/>
  <c r="AO32" i="1" s="1"/>
  <c r="AH32" i="1"/>
  <c r="AI32" i="1" s="1"/>
  <c r="AJ32" i="1" s="1"/>
  <c r="AC32" i="1"/>
  <c r="AD32" i="1" s="1"/>
  <c r="AE32" i="1" s="1"/>
  <c r="X32" i="1"/>
  <c r="Y32" i="1" s="1"/>
  <c r="Z32" i="1" s="1"/>
  <c r="AM31" i="1"/>
  <c r="AN31" i="1" s="1"/>
  <c r="AO31" i="1" s="1"/>
  <c r="AH31" i="1"/>
  <c r="AI31" i="1" s="1"/>
  <c r="AJ31" i="1" s="1"/>
  <c r="AC31" i="1"/>
  <c r="AD31" i="1" s="1"/>
  <c r="AE31" i="1" s="1"/>
  <c r="X31" i="1"/>
  <c r="Y31" i="1" s="1"/>
  <c r="Z31" i="1" s="1"/>
  <c r="AM30" i="1"/>
  <c r="AN30" i="1" s="1"/>
  <c r="AO30" i="1" s="1"/>
  <c r="AH30" i="1"/>
  <c r="AI30" i="1" s="1"/>
  <c r="AJ30" i="1" s="1"/>
  <c r="AC30" i="1"/>
  <c r="AD30" i="1" s="1"/>
  <c r="AE30" i="1" s="1"/>
  <c r="X30" i="1"/>
  <c r="Y30" i="1" s="1"/>
  <c r="Z30" i="1" s="1"/>
  <c r="AM29" i="1"/>
  <c r="AN29" i="1" s="1"/>
  <c r="AO29" i="1" s="1"/>
  <c r="AH29" i="1"/>
  <c r="AI29" i="1" s="1"/>
  <c r="AJ29" i="1" s="1"/>
  <c r="AC29" i="1"/>
  <c r="AD29" i="1" s="1"/>
  <c r="AE29" i="1" s="1"/>
  <c r="X29" i="1"/>
  <c r="Y29" i="1" s="1"/>
  <c r="Z29" i="1" s="1"/>
  <c r="AM28" i="1"/>
  <c r="AN28" i="1" s="1"/>
  <c r="AO28" i="1" s="1"/>
  <c r="AH28" i="1"/>
  <c r="AI28" i="1" s="1"/>
  <c r="AJ28" i="1" s="1"/>
  <c r="AC28" i="1"/>
  <c r="AD28" i="1" s="1"/>
  <c r="AE28" i="1" s="1"/>
  <c r="X28" i="1"/>
  <c r="Y28" i="1" s="1"/>
  <c r="Z28" i="1" s="1"/>
  <c r="AM27" i="1"/>
  <c r="AN27" i="1" s="1"/>
  <c r="AO27" i="1" s="1"/>
  <c r="AH27" i="1"/>
  <c r="AI27" i="1" s="1"/>
  <c r="AJ27" i="1" s="1"/>
  <c r="AC27" i="1"/>
  <c r="AD27" i="1" s="1"/>
  <c r="AE27" i="1" s="1"/>
  <c r="X27" i="1"/>
  <c r="Y27" i="1" s="1"/>
  <c r="Z27" i="1" s="1"/>
  <c r="AM26" i="1"/>
  <c r="AN26" i="1" s="1"/>
  <c r="AO26" i="1" s="1"/>
  <c r="AH26" i="1"/>
  <c r="AI26" i="1" s="1"/>
  <c r="AJ26" i="1" s="1"/>
  <c r="AC26" i="1"/>
  <c r="AD26" i="1" s="1"/>
  <c r="AE26" i="1" s="1"/>
  <c r="X26" i="1"/>
  <c r="Y26" i="1" s="1"/>
  <c r="Z26" i="1" s="1"/>
  <c r="AM25" i="1"/>
  <c r="AN25" i="1" s="1"/>
  <c r="AO25" i="1" s="1"/>
  <c r="AH25" i="1"/>
  <c r="AI25" i="1" s="1"/>
  <c r="AJ25" i="1" s="1"/>
  <c r="AC25" i="1"/>
  <c r="AD25" i="1" s="1"/>
  <c r="AE25" i="1" s="1"/>
  <c r="X25" i="1"/>
  <c r="Y25" i="1" s="1"/>
  <c r="Z25" i="1" s="1"/>
  <c r="AM24" i="1"/>
  <c r="AN24" i="1" s="1"/>
  <c r="AO24" i="1" s="1"/>
  <c r="AH24" i="1"/>
  <c r="AI24" i="1" s="1"/>
  <c r="AJ24" i="1" s="1"/>
  <c r="AC24" i="1"/>
  <c r="AD24" i="1" s="1"/>
  <c r="AE24" i="1" s="1"/>
  <c r="X24" i="1"/>
  <c r="Y24" i="1" s="1"/>
  <c r="Z24" i="1" s="1"/>
  <c r="AM23" i="1"/>
  <c r="AN23" i="1" s="1"/>
  <c r="AO23" i="1" s="1"/>
  <c r="AH23" i="1"/>
  <c r="AI23" i="1" s="1"/>
  <c r="AJ23" i="1" s="1"/>
  <c r="AC23" i="1"/>
  <c r="AD23" i="1" s="1"/>
  <c r="AE23" i="1" s="1"/>
  <c r="X23" i="1"/>
  <c r="Y23" i="1" s="1"/>
  <c r="Z23" i="1" s="1"/>
  <c r="AM22" i="1"/>
  <c r="AN22" i="1" s="1"/>
  <c r="AO22" i="1" s="1"/>
  <c r="AH22" i="1"/>
  <c r="AI22" i="1" s="1"/>
  <c r="AJ22" i="1" s="1"/>
  <c r="AC22" i="1"/>
  <c r="AD22" i="1" s="1"/>
  <c r="AE22" i="1" s="1"/>
  <c r="X22" i="1"/>
  <c r="Y22" i="1" s="1"/>
  <c r="Z22" i="1" s="1"/>
  <c r="AM21" i="1"/>
  <c r="AN21" i="1" s="1"/>
  <c r="AO21" i="1" s="1"/>
  <c r="AH21" i="1"/>
  <c r="AI21" i="1" s="1"/>
  <c r="AJ21" i="1" s="1"/>
  <c r="AC21" i="1"/>
  <c r="AD21" i="1" s="1"/>
  <c r="AE21" i="1" s="1"/>
  <c r="X21" i="1"/>
  <c r="Y21" i="1" s="1"/>
  <c r="Z21" i="1" s="1"/>
  <c r="AN20" i="1"/>
  <c r="AO20" i="1" s="1"/>
  <c r="AM20" i="1"/>
  <c r="AH20" i="1"/>
  <c r="AI20" i="1" s="1"/>
  <c r="AJ20" i="1" s="1"/>
  <c r="AC20" i="1"/>
  <c r="AD20" i="1" s="1"/>
  <c r="AE20" i="1" s="1"/>
  <c r="X20" i="1"/>
  <c r="Y20" i="1" s="1"/>
  <c r="Z20" i="1" s="1"/>
  <c r="AM19" i="1"/>
  <c r="AN19" i="1" s="1"/>
  <c r="AO19" i="1" s="1"/>
  <c r="AH19" i="1"/>
  <c r="AI19" i="1" s="1"/>
  <c r="AJ19" i="1" s="1"/>
  <c r="AC19" i="1"/>
  <c r="AD19" i="1" s="1"/>
  <c r="AE19" i="1" s="1"/>
  <c r="X19" i="1"/>
  <c r="Y19" i="1" s="1"/>
  <c r="Z19" i="1" s="1"/>
  <c r="AM18" i="1"/>
  <c r="AN18" i="1" s="1"/>
  <c r="AO18" i="1" s="1"/>
  <c r="AH18" i="1"/>
  <c r="AI18" i="1" s="1"/>
  <c r="AJ18" i="1" s="1"/>
  <c r="AC18" i="1"/>
  <c r="AD18" i="1" s="1"/>
  <c r="AE18" i="1" s="1"/>
  <c r="X18" i="1"/>
  <c r="Y18" i="1" s="1"/>
  <c r="Z18" i="1" s="1"/>
  <c r="AM17" i="1"/>
  <c r="AN17" i="1" s="1"/>
  <c r="AO17" i="1" s="1"/>
  <c r="AH17" i="1"/>
  <c r="AI17" i="1" s="1"/>
  <c r="AJ17" i="1" s="1"/>
  <c r="AC17" i="1"/>
  <c r="AD17" i="1" s="1"/>
  <c r="AE17" i="1" s="1"/>
  <c r="X17" i="1"/>
  <c r="Y17" i="1" s="1"/>
  <c r="Z17" i="1" s="1"/>
  <c r="AM16" i="1"/>
  <c r="AN16" i="1" s="1"/>
  <c r="AO16" i="1" s="1"/>
  <c r="AH16" i="1"/>
  <c r="AI16" i="1" s="1"/>
  <c r="AJ16" i="1" s="1"/>
  <c r="AC16" i="1"/>
  <c r="AD16" i="1" s="1"/>
  <c r="AE16" i="1" s="1"/>
  <c r="X16" i="1"/>
  <c r="Y16" i="1" s="1"/>
  <c r="Z16" i="1" s="1"/>
  <c r="AM15" i="1"/>
  <c r="AN15" i="1" s="1"/>
  <c r="AO15" i="1" s="1"/>
  <c r="AH15" i="1"/>
  <c r="AI15" i="1" s="1"/>
  <c r="AJ15" i="1" s="1"/>
  <c r="AC15" i="1"/>
  <c r="AD15" i="1" s="1"/>
  <c r="AE15" i="1" s="1"/>
  <c r="X15" i="1"/>
  <c r="Y15" i="1" s="1"/>
  <c r="Z15" i="1" s="1"/>
  <c r="AM14" i="1"/>
  <c r="AN14" i="1" s="1"/>
  <c r="AO14" i="1" s="1"/>
  <c r="AH14" i="1"/>
  <c r="AI14" i="1" s="1"/>
  <c r="AJ14" i="1" s="1"/>
  <c r="AC14" i="1"/>
  <c r="AD14" i="1" s="1"/>
  <c r="AE14" i="1" s="1"/>
  <c r="X14" i="1"/>
  <c r="Y14" i="1" s="1"/>
  <c r="Z14" i="1" s="1"/>
  <c r="AM13" i="1"/>
  <c r="AN13" i="1" s="1"/>
  <c r="AO13" i="1" s="1"/>
  <c r="AH13" i="1"/>
  <c r="AI13" i="1" s="1"/>
  <c r="AJ13" i="1" s="1"/>
  <c r="AC13" i="1"/>
  <c r="AD13" i="1" s="1"/>
  <c r="AE13" i="1" s="1"/>
  <c r="X13" i="1"/>
  <c r="Y13" i="1" s="1"/>
  <c r="Z13" i="1" s="1"/>
  <c r="AM12" i="1"/>
  <c r="AN12" i="1" s="1"/>
  <c r="AO12" i="1" s="1"/>
  <c r="AH12" i="1"/>
  <c r="AI12" i="1" s="1"/>
  <c r="AJ12" i="1" s="1"/>
  <c r="AC12" i="1"/>
  <c r="AD12" i="1" s="1"/>
  <c r="AE12" i="1" s="1"/>
  <c r="X12" i="1"/>
  <c r="Y12" i="1" s="1"/>
  <c r="Z12" i="1" s="1"/>
  <c r="AM11" i="1"/>
  <c r="AN11" i="1" s="1"/>
  <c r="AO11" i="1" s="1"/>
  <c r="AH11" i="1"/>
  <c r="AI11" i="1" s="1"/>
  <c r="AJ11" i="1" s="1"/>
  <c r="AC11" i="1"/>
  <c r="AD11" i="1" s="1"/>
  <c r="AE11" i="1" s="1"/>
  <c r="X11" i="1"/>
  <c r="Y11" i="1" s="1"/>
  <c r="Z11" i="1" s="1"/>
  <c r="AM10" i="1"/>
  <c r="AN10" i="1" s="1"/>
  <c r="AO10" i="1" s="1"/>
  <c r="AH10" i="1"/>
  <c r="AI10" i="1" s="1"/>
  <c r="AJ10" i="1" s="1"/>
  <c r="AC10" i="1"/>
  <c r="AD10" i="1" s="1"/>
  <c r="AE10" i="1" s="1"/>
  <c r="X10" i="1"/>
  <c r="Y10" i="1" s="1"/>
  <c r="Z10" i="1" s="1"/>
  <c r="AM9" i="1"/>
  <c r="AN9" i="1" s="1"/>
  <c r="AO9" i="1" s="1"/>
  <c r="AH9" i="1"/>
  <c r="AI9" i="1" s="1"/>
  <c r="AJ9" i="1" s="1"/>
  <c r="AC9" i="1"/>
  <c r="AD9" i="1" s="1"/>
  <c r="AE9" i="1" s="1"/>
  <c r="X9" i="1"/>
  <c r="Y9" i="1" s="1"/>
  <c r="Z9" i="1" s="1"/>
  <c r="AM8" i="1"/>
  <c r="AN8" i="1" s="1"/>
  <c r="AO8" i="1" s="1"/>
  <c r="AH8" i="1"/>
  <c r="AI8" i="1" s="1"/>
  <c r="AJ8" i="1" s="1"/>
  <c r="AC8" i="1"/>
  <c r="AD8" i="1" s="1"/>
  <c r="AE8" i="1" s="1"/>
  <c r="X8" i="1"/>
  <c r="Y8" i="1" s="1"/>
  <c r="Z8" i="1" s="1"/>
  <c r="AM7" i="1"/>
  <c r="AN7" i="1" s="1"/>
  <c r="AO7" i="1" s="1"/>
  <c r="AH7" i="1"/>
  <c r="AI7" i="1" s="1"/>
  <c r="AJ7" i="1" s="1"/>
  <c r="AC7" i="1"/>
  <c r="AD7" i="1" s="1"/>
  <c r="AE7" i="1" s="1"/>
  <c r="X7" i="1"/>
  <c r="Y7" i="1" s="1"/>
  <c r="Z7" i="1" s="1"/>
  <c r="AM6" i="1"/>
  <c r="AN6" i="1" s="1"/>
  <c r="AO6" i="1" s="1"/>
  <c r="AH6" i="1"/>
  <c r="AI6" i="1" s="1"/>
  <c r="AJ6" i="1" s="1"/>
  <c r="AC6" i="1"/>
  <c r="AD6" i="1" s="1"/>
  <c r="AE6" i="1" s="1"/>
  <c r="X6" i="1"/>
  <c r="Y6" i="1" s="1"/>
  <c r="Z6" i="1" s="1"/>
  <c r="AM5" i="1"/>
  <c r="AN5" i="1" s="1"/>
  <c r="AO5" i="1" s="1"/>
  <c r="AH5" i="1"/>
  <c r="AI5" i="1" s="1"/>
  <c r="AJ5" i="1" s="1"/>
  <c r="AC5" i="1"/>
  <c r="AD5" i="1" s="1"/>
  <c r="AE5" i="1" s="1"/>
  <c r="X5" i="1"/>
  <c r="Y5" i="1" s="1"/>
  <c r="Z5" i="1" s="1"/>
  <c r="AM4" i="1"/>
  <c r="AN4" i="1" s="1"/>
  <c r="AO4" i="1" s="1"/>
  <c r="AH4" i="1"/>
  <c r="AI4" i="1" s="1"/>
  <c r="AJ4" i="1" s="1"/>
  <c r="AC4" i="1"/>
  <c r="AD4" i="1" s="1"/>
  <c r="AE4" i="1" s="1"/>
  <c r="X4" i="1"/>
  <c r="Y4" i="1" s="1"/>
  <c r="Z4" i="1" s="1"/>
  <c r="AM3" i="1"/>
  <c r="AN3" i="1" s="1"/>
  <c r="AO3" i="1" s="1"/>
  <c r="AH3" i="1"/>
  <c r="AI3" i="1" s="1"/>
  <c r="AJ3" i="1" s="1"/>
  <c r="AC3" i="1"/>
  <c r="AD3" i="1" s="1"/>
  <c r="AE3" i="1" s="1"/>
  <c r="Y3" i="1"/>
  <c r="Z3" i="1" s="1"/>
  <c r="X3" i="1"/>
  <c r="S102" i="1"/>
  <c r="T102" i="1" s="1"/>
  <c r="U102" i="1" s="1"/>
  <c r="N102" i="1"/>
  <c r="O102" i="1" s="1"/>
  <c r="P102" i="1" s="1"/>
  <c r="S101" i="1"/>
  <c r="T101" i="1" s="1"/>
  <c r="U101" i="1" s="1"/>
  <c r="N101" i="1"/>
  <c r="O101" i="1" s="1"/>
  <c r="P101" i="1" s="1"/>
  <c r="S100" i="1"/>
  <c r="T100" i="1" s="1"/>
  <c r="U100" i="1" s="1"/>
  <c r="N100" i="1"/>
  <c r="O100" i="1" s="1"/>
  <c r="P100" i="1" s="1"/>
  <c r="S99" i="1"/>
  <c r="T99" i="1" s="1"/>
  <c r="U99" i="1" s="1"/>
  <c r="N99" i="1"/>
  <c r="O99" i="1" s="1"/>
  <c r="P99" i="1" s="1"/>
  <c r="S98" i="1"/>
  <c r="T98" i="1" s="1"/>
  <c r="U98" i="1" s="1"/>
  <c r="N98" i="1"/>
  <c r="O98" i="1" s="1"/>
  <c r="P98" i="1" s="1"/>
  <c r="S97" i="1"/>
  <c r="T97" i="1" s="1"/>
  <c r="U97" i="1" s="1"/>
  <c r="N97" i="1"/>
  <c r="O97" i="1" s="1"/>
  <c r="P97" i="1" s="1"/>
  <c r="S96" i="1"/>
  <c r="T96" i="1" s="1"/>
  <c r="U96" i="1" s="1"/>
  <c r="N96" i="1"/>
  <c r="O96" i="1" s="1"/>
  <c r="P96" i="1" s="1"/>
  <c r="S95" i="1"/>
  <c r="T95" i="1" s="1"/>
  <c r="U95" i="1" s="1"/>
  <c r="N95" i="1"/>
  <c r="O95" i="1" s="1"/>
  <c r="P95" i="1" s="1"/>
  <c r="S94" i="1"/>
  <c r="T94" i="1" s="1"/>
  <c r="U94" i="1" s="1"/>
  <c r="N94" i="1"/>
  <c r="O94" i="1" s="1"/>
  <c r="P94" i="1" s="1"/>
  <c r="S93" i="1"/>
  <c r="T93" i="1" s="1"/>
  <c r="U93" i="1" s="1"/>
  <c r="N93" i="1"/>
  <c r="O93" i="1" s="1"/>
  <c r="P93" i="1" s="1"/>
  <c r="S92" i="1"/>
  <c r="T92" i="1" s="1"/>
  <c r="U92" i="1" s="1"/>
  <c r="N92" i="1"/>
  <c r="O92" i="1" s="1"/>
  <c r="P92" i="1" s="1"/>
  <c r="S91" i="1"/>
  <c r="T91" i="1" s="1"/>
  <c r="U91" i="1" s="1"/>
  <c r="N91" i="1"/>
  <c r="O91" i="1" s="1"/>
  <c r="P91" i="1" s="1"/>
  <c r="S90" i="1"/>
  <c r="T90" i="1" s="1"/>
  <c r="U90" i="1" s="1"/>
  <c r="N90" i="1"/>
  <c r="O90" i="1" s="1"/>
  <c r="P90" i="1" s="1"/>
  <c r="S89" i="1"/>
  <c r="T89" i="1" s="1"/>
  <c r="U89" i="1" s="1"/>
  <c r="N89" i="1"/>
  <c r="O89" i="1" s="1"/>
  <c r="P89" i="1" s="1"/>
  <c r="S88" i="1"/>
  <c r="T88" i="1" s="1"/>
  <c r="U88" i="1" s="1"/>
  <c r="N88" i="1"/>
  <c r="O88" i="1" s="1"/>
  <c r="P88" i="1" s="1"/>
  <c r="S87" i="1"/>
  <c r="T87" i="1" s="1"/>
  <c r="U87" i="1" s="1"/>
  <c r="N87" i="1"/>
  <c r="O87" i="1" s="1"/>
  <c r="P87" i="1" s="1"/>
  <c r="S86" i="1"/>
  <c r="T86" i="1" s="1"/>
  <c r="U86" i="1" s="1"/>
  <c r="N86" i="1"/>
  <c r="O86" i="1" s="1"/>
  <c r="P86" i="1" s="1"/>
  <c r="S85" i="1"/>
  <c r="T85" i="1" s="1"/>
  <c r="U85" i="1" s="1"/>
  <c r="N85" i="1"/>
  <c r="O85" i="1" s="1"/>
  <c r="P85" i="1" s="1"/>
  <c r="S84" i="1"/>
  <c r="T84" i="1" s="1"/>
  <c r="U84" i="1" s="1"/>
  <c r="N84" i="1"/>
  <c r="O84" i="1" s="1"/>
  <c r="P84" i="1" s="1"/>
  <c r="S83" i="1"/>
  <c r="T83" i="1" s="1"/>
  <c r="U83" i="1" s="1"/>
  <c r="N83" i="1"/>
  <c r="O83" i="1" s="1"/>
  <c r="P83" i="1" s="1"/>
  <c r="S82" i="1"/>
  <c r="T82" i="1" s="1"/>
  <c r="U82" i="1" s="1"/>
  <c r="N82" i="1"/>
  <c r="O82" i="1" s="1"/>
  <c r="P82" i="1" s="1"/>
  <c r="S81" i="1"/>
  <c r="T81" i="1" s="1"/>
  <c r="U81" i="1" s="1"/>
  <c r="N81" i="1"/>
  <c r="O81" i="1" s="1"/>
  <c r="P81" i="1" s="1"/>
  <c r="S80" i="1"/>
  <c r="T80" i="1" s="1"/>
  <c r="U80" i="1" s="1"/>
  <c r="N80" i="1"/>
  <c r="O80" i="1" s="1"/>
  <c r="P80" i="1" s="1"/>
  <c r="S79" i="1"/>
  <c r="T79" i="1" s="1"/>
  <c r="U79" i="1" s="1"/>
  <c r="N79" i="1"/>
  <c r="O79" i="1" s="1"/>
  <c r="P79" i="1" s="1"/>
  <c r="S78" i="1"/>
  <c r="T78" i="1" s="1"/>
  <c r="U78" i="1" s="1"/>
  <c r="N78" i="1"/>
  <c r="O78" i="1" s="1"/>
  <c r="P78" i="1" s="1"/>
  <c r="S77" i="1"/>
  <c r="T77" i="1" s="1"/>
  <c r="U77" i="1" s="1"/>
  <c r="N77" i="1"/>
  <c r="O77" i="1" s="1"/>
  <c r="P77" i="1" s="1"/>
  <c r="S76" i="1"/>
  <c r="T76" i="1" s="1"/>
  <c r="U76" i="1" s="1"/>
  <c r="N76" i="1"/>
  <c r="O76" i="1" s="1"/>
  <c r="P76" i="1" s="1"/>
  <c r="S75" i="1"/>
  <c r="T75" i="1" s="1"/>
  <c r="U75" i="1" s="1"/>
  <c r="N75" i="1"/>
  <c r="O75" i="1" s="1"/>
  <c r="P75" i="1" s="1"/>
  <c r="S74" i="1"/>
  <c r="T74" i="1" s="1"/>
  <c r="U74" i="1" s="1"/>
  <c r="N74" i="1"/>
  <c r="O74" i="1" s="1"/>
  <c r="P74" i="1" s="1"/>
  <c r="T73" i="1"/>
  <c r="U73" i="1" s="1"/>
  <c r="S73" i="1"/>
  <c r="N73" i="1"/>
  <c r="O73" i="1" s="1"/>
  <c r="P73" i="1" s="1"/>
  <c r="S72" i="1"/>
  <c r="T72" i="1" s="1"/>
  <c r="U72" i="1" s="1"/>
  <c r="N72" i="1"/>
  <c r="O72" i="1" s="1"/>
  <c r="P72" i="1" s="1"/>
  <c r="S71" i="1"/>
  <c r="T71" i="1" s="1"/>
  <c r="U71" i="1" s="1"/>
  <c r="N71" i="1"/>
  <c r="O71" i="1" s="1"/>
  <c r="P71" i="1" s="1"/>
  <c r="S70" i="1"/>
  <c r="T70" i="1" s="1"/>
  <c r="U70" i="1" s="1"/>
  <c r="N70" i="1"/>
  <c r="O70" i="1" s="1"/>
  <c r="P70" i="1" s="1"/>
  <c r="S69" i="1"/>
  <c r="T69" i="1" s="1"/>
  <c r="U69" i="1" s="1"/>
  <c r="N69" i="1"/>
  <c r="O69" i="1" s="1"/>
  <c r="P69" i="1" s="1"/>
  <c r="S68" i="1"/>
  <c r="T68" i="1" s="1"/>
  <c r="U68" i="1" s="1"/>
  <c r="N68" i="1"/>
  <c r="O68" i="1" s="1"/>
  <c r="P68" i="1" s="1"/>
  <c r="S67" i="1"/>
  <c r="T67" i="1" s="1"/>
  <c r="U67" i="1" s="1"/>
  <c r="N67" i="1"/>
  <c r="O67" i="1" s="1"/>
  <c r="P67" i="1" s="1"/>
  <c r="S66" i="1"/>
  <c r="T66" i="1" s="1"/>
  <c r="U66" i="1" s="1"/>
  <c r="N66" i="1"/>
  <c r="O66" i="1" s="1"/>
  <c r="P66" i="1" s="1"/>
  <c r="S65" i="1"/>
  <c r="T65" i="1" s="1"/>
  <c r="U65" i="1" s="1"/>
  <c r="N65" i="1"/>
  <c r="O65" i="1" s="1"/>
  <c r="P65" i="1" s="1"/>
  <c r="S64" i="1"/>
  <c r="T64" i="1" s="1"/>
  <c r="U64" i="1" s="1"/>
  <c r="N64" i="1"/>
  <c r="O64" i="1" s="1"/>
  <c r="P64" i="1" s="1"/>
  <c r="S63" i="1"/>
  <c r="T63" i="1" s="1"/>
  <c r="U63" i="1" s="1"/>
  <c r="N63" i="1"/>
  <c r="O63" i="1" s="1"/>
  <c r="P63" i="1" s="1"/>
  <c r="S62" i="1"/>
  <c r="T62" i="1" s="1"/>
  <c r="U62" i="1" s="1"/>
  <c r="N62" i="1"/>
  <c r="O62" i="1" s="1"/>
  <c r="P62" i="1" s="1"/>
  <c r="S61" i="1"/>
  <c r="T61" i="1" s="1"/>
  <c r="U61" i="1" s="1"/>
  <c r="N61" i="1"/>
  <c r="O61" i="1" s="1"/>
  <c r="P61" i="1" s="1"/>
  <c r="S60" i="1"/>
  <c r="T60" i="1" s="1"/>
  <c r="U60" i="1" s="1"/>
  <c r="N60" i="1"/>
  <c r="O60" i="1" s="1"/>
  <c r="P60" i="1" s="1"/>
  <c r="S59" i="1"/>
  <c r="T59" i="1" s="1"/>
  <c r="U59" i="1" s="1"/>
  <c r="N59" i="1"/>
  <c r="O59" i="1" s="1"/>
  <c r="P59" i="1" s="1"/>
  <c r="S58" i="1"/>
  <c r="T58" i="1" s="1"/>
  <c r="U58" i="1" s="1"/>
  <c r="N58" i="1"/>
  <c r="O58" i="1" s="1"/>
  <c r="P58" i="1" s="1"/>
  <c r="S57" i="1"/>
  <c r="T57" i="1" s="1"/>
  <c r="U57" i="1" s="1"/>
  <c r="N57" i="1"/>
  <c r="O57" i="1" s="1"/>
  <c r="P57" i="1" s="1"/>
  <c r="S56" i="1"/>
  <c r="T56" i="1" s="1"/>
  <c r="U56" i="1" s="1"/>
  <c r="N56" i="1"/>
  <c r="O56" i="1" s="1"/>
  <c r="P56" i="1" s="1"/>
  <c r="S55" i="1"/>
  <c r="T55" i="1" s="1"/>
  <c r="U55" i="1" s="1"/>
  <c r="N55" i="1"/>
  <c r="O55" i="1" s="1"/>
  <c r="P55" i="1" s="1"/>
  <c r="S54" i="1"/>
  <c r="T54" i="1" s="1"/>
  <c r="U54" i="1" s="1"/>
  <c r="N54" i="1"/>
  <c r="O54" i="1" s="1"/>
  <c r="P54" i="1" s="1"/>
  <c r="S53" i="1"/>
  <c r="T53" i="1" s="1"/>
  <c r="U53" i="1" s="1"/>
  <c r="N53" i="1"/>
  <c r="O53" i="1" s="1"/>
  <c r="P53" i="1" s="1"/>
  <c r="S52" i="1"/>
  <c r="T52" i="1" s="1"/>
  <c r="U52" i="1" s="1"/>
  <c r="N52" i="1"/>
  <c r="O52" i="1" s="1"/>
  <c r="P52" i="1" s="1"/>
  <c r="S51" i="1"/>
  <c r="T51" i="1" s="1"/>
  <c r="U51" i="1" s="1"/>
  <c r="N51" i="1"/>
  <c r="O51" i="1" s="1"/>
  <c r="P51" i="1" s="1"/>
  <c r="S50" i="1"/>
  <c r="T50" i="1" s="1"/>
  <c r="U50" i="1" s="1"/>
  <c r="N50" i="1"/>
  <c r="O50" i="1" s="1"/>
  <c r="P50" i="1" s="1"/>
  <c r="T49" i="1"/>
  <c r="U49" i="1" s="1"/>
  <c r="S49" i="1"/>
  <c r="N49" i="1"/>
  <c r="O49" i="1" s="1"/>
  <c r="P49" i="1" s="1"/>
  <c r="S48" i="1"/>
  <c r="T48" i="1" s="1"/>
  <c r="U48" i="1" s="1"/>
  <c r="N48" i="1"/>
  <c r="O48" i="1" s="1"/>
  <c r="P48" i="1" s="1"/>
  <c r="S47" i="1"/>
  <c r="T47" i="1" s="1"/>
  <c r="U47" i="1" s="1"/>
  <c r="N47" i="1"/>
  <c r="O47" i="1" s="1"/>
  <c r="P47" i="1" s="1"/>
  <c r="S46" i="1"/>
  <c r="T46" i="1" s="1"/>
  <c r="U46" i="1" s="1"/>
  <c r="N46" i="1"/>
  <c r="O46" i="1" s="1"/>
  <c r="P46" i="1" s="1"/>
  <c r="S45" i="1"/>
  <c r="T45" i="1" s="1"/>
  <c r="U45" i="1" s="1"/>
  <c r="N45" i="1"/>
  <c r="O45" i="1" s="1"/>
  <c r="P45" i="1" s="1"/>
  <c r="S44" i="1"/>
  <c r="T44" i="1" s="1"/>
  <c r="U44" i="1" s="1"/>
  <c r="N44" i="1"/>
  <c r="O44" i="1" s="1"/>
  <c r="P44" i="1" s="1"/>
  <c r="S43" i="1"/>
  <c r="T43" i="1" s="1"/>
  <c r="U43" i="1" s="1"/>
  <c r="N43" i="1"/>
  <c r="O43" i="1" s="1"/>
  <c r="P43" i="1" s="1"/>
  <c r="S42" i="1"/>
  <c r="T42" i="1" s="1"/>
  <c r="U42" i="1" s="1"/>
  <c r="N42" i="1"/>
  <c r="O42" i="1" s="1"/>
  <c r="P42" i="1" s="1"/>
  <c r="S41" i="1"/>
  <c r="T41" i="1" s="1"/>
  <c r="U41" i="1" s="1"/>
  <c r="N41" i="1"/>
  <c r="O41" i="1" s="1"/>
  <c r="P41" i="1" s="1"/>
  <c r="S40" i="1"/>
  <c r="T40" i="1" s="1"/>
  <c r="U40" i="1" s="1"/>
  <c r="N40" i="1"/>
  <c r="O40" i="1" s="1"/>
  <c r="P40" i="1" s="1"/>
  <c r="S39" i="1"/>
  <c r="T39" i="1" s="1"/>
  <c r="U39" i="1" s="1"/>
  <c r="N39" i="1"/>
  <c r="O39" i="1" s="1"/>
  <c r="P39" i="1" s="1"/>
  <c r="S38" i="1"/>
  <c r="T38" i="1" s="1"/>
  <c r="U38" i="1" s="1"/>
  <c r="N38" i="1"/>
  <c r="O38" i="1" s="1"/>
  <c r="P38" i="1" s="1"/>
  <c r="S37" i="1"/>
  <c r="T37" i="1" s="1"/>
  <c r="U37" i="1" s="1"/>
  <c r="N37" i="1"/>
  <c r="O37" i="1" s="1"/>
  <c r="P37" i="1" s="1"/>
  <c r="S36" i="1"/>
  <c r="T36" i="1" s="1"/>
  <c r="U36" i="1" s="1"/>
  <c r="N36" i="1"/>
  <c r="O36" i="1" s="1"/>
  <c r="P36" i="1" s="1"/>
  <c r="S35" i="1"/>
  <c r="T35" i="1" s="1"/>
  <c r="U35" i="1" s="1"/>
  <c r="N35" i="1"/>
  <c r="O35" i="1" s="1"/>
  <c r="P35" i="1" s="1"/>
  <c r="S34" i="1"/>
  <c r="T34" i="1" s="1"/>
  <c r="U34" i="1" s="1"/>
  <c r="N34" i="1"/>
  <c r="O34" i="1" s="1"/>
  <c r="P34" i="1" s="1"/>
  <c r="S33" i="1"/>
  <c r="T33" i="1" s="1"/>
  <c r="U33" i="1" s="1"/>
  <c r="N33" i="1"/>
  <c r="O33" i="1" s="1"/>
  <c r="P33" i="1" s="1"/>
  <c r="S32" i="1"/>
  <c r="T32" i="1" s="1"/>
  <c r="U32" i="1" s="1"/>
  <c r="N32" i="1"/>
  <c r="O32" i="1" s="1"/>
  <c r="P32" i="1" s="1"/>
  <c r="S31" i="1"/>
  <c r="T31" i="1" s="1"/>
  <c r="U31" i="1" s="1"/>
  <c r="N31" i="1"/>
  <c r="O31" i="1" s="1"/>
  <c r="P31" i="1" s="1"/>
  <c r="S30" i="1"/>
  <c r="T30" i="1" s="1"/>
  <c r="U30" i="1" s="1"/>
  <c r="N30" i="1"/>
  <c r="O30" i="1" s="1"/>
  <c r="P30" i="1" s="1"/>
  <c r="S29" i="1"/>
  <c r="T29" i="1" s="1"/>
  <c r="U29" i="1" s="1"/>
  <c r="N29" i="1"/>
  <c r="O29" i="1" s="1"/>
  <c r="P29" i="1" s="1"/>
  <c r="S28" i="1"/>
  <c r="T28" i="1" s="1"/>
  <c r="U28" i="1" s="1"/>
  <c r="N28" i="1"/>
  <c r="O28" i="1" s="1"/>
  <c r="P28" i="1" s="1"/>
  <c r="S27" i="1"/>
  <c r="T27" i="1" s="1"/>
  <c r="U27" i="1" s="1"/>
  <c r="N27" i="1"/>
  <c r="O27" i="1" s="1"/>
  <c r="P27" i="1" s="1"/>
  <c r="S26" i="1"/>
  <c r="T26" i="1" s="1"/>
  <c r="U26" i="1" s="1"/>
  <c r="N26" i="1"/>
  <c r="O26" i="1" s="1"/>
  <c r="P26" i="1" s="1"/>
  <c r="S25" i="1"/>
  <c r="T25" i="1" s="1"/>
  <c r="U25" i="1" s="1"/>
  <c r="N25" i="1"/>
  <c r="O25" i="1" s="1"/>
  <c r="P25" i="1" s="1"/>
  <c r="S24" i="1"/>
  <c r="T24" i="1" s="1"/>
  <c r="U24" i="1" s="1"/>
  <c r="N24" i="1"/>
  <c r="O24" i="1" s="1"/>
  <c r="P24" i="1" s="1"/>
  <c r="S23" i="1"/>
  <c r="T23" i="1" s="1"/>
  <c r="U23" i="1" s="1"/>
  <c r="N23" i="1"/>
  <c r="O23" i="1" s="1"/>
  <c r="P23" i="1" s="1"/>
  <c r="S22" i="1"/>
  <c r="T22" i="1" s="1"/>
  <c r="U22" i="1" s="1"/>
  <c r="N22" i="1"/>
  <c r="O22" i="1" s="1"/>
  <c r="P22" i="1" s="1"/>
  <c r="S21" i="1"/>
  <c r="T21" i="1" s="1"/>
  <c r="U21" i="1" s="1"/>
  <c r="N21" i="1"/>
  <c r="O21" i="1" s="1"/>
  <c r="P21" i="1" s="1"/>
  <c r="S20" i="1"/>
  <c r="T20" i="1" s="1"/>
  <c r="U20" i="1" s="1"/>
  <c r="N20" i="1"/>
  <c r="O20" i="1" s="1"/>
  <c r="P20" i="1" s="1"/>
  <c r="S19" i="1"/>
  <c r="T19" i="1" s="1"/>
  <c r="U19" i="1" s="1"/>
  <c r="N19" i="1"/>
  <c r="O19" i="1" s="1"/>
  <c r="P19" i="1" s="1"/>
  <c r="S18" i="1"/>
  <c r="T18" i="1" s="1"/>
  <c r="U18" i="1" s="1"/>
  <c r="N18" i="1"/>
  <c r="O18" i="1" s="1"/>
  <c r="P18" i="1" s="1"/>
  <c r="S17" i="1"/>
  <c r="T17" i="1" s="1"/>
  <c r="U17" i="1" s="1"/>
  <c r="N17" i="1"/>
  <c r="O17" i="1" s="1"/>
  <c r="P17" i="1" s="1"/>
  <c r="S16" i="1"/>
  <c r="T16" i="1" s="1"/>
  <c r="U16" i="1" s="1"/>
  <c r="N16" i="1"/>
  <c r="O16" i="1" s="1"/>
  <c r="P16" i="1" s="1"/>
  <c r="S15" i="1"/>
  <c r="T15" i="1" s="1"/>
  <c r="U15" i="1" s="1"/>
  <c r="N15" i="1"/>
  <c r="O15" i="1" s="1"/>
  <c r="P15" i="1" s="1"/>
  <c r="S14" i="1"/>
  <c r="T14" i="1" s="1"/>
  <c r="U14" i="1" s="1"/>
  <c r="N14" i="1"/>
  <c r="O14" i="1" s="1"/>
  <c r="P14" i="1" s="1"/>
  <c r="S13" i="1"/>
  <c r="T13" i="1" s="1"/>
  <c r="U13" i="1" s="1"/>
  <c r="N13" i="1"/>
  <c r="O13" i="1" s="1"/>
  <c r="P13" i="1" s="1"/>
  <c r="S12" i="1"/>
  <c r="T12" i="1" s="1"/>
  <c r="U12" i="1" s="1"/>
  <c r="N12" i="1"/>
  <c r="O12" i="1" s="1"/>
  <c r="P12" i="1" s="1"/>
  <c r="S11" i="1"/>
  <c r="T11" i="1" s="1"/>
  <c r="U11" i="1" s="1"/>
  <c r="O11" i="1"/>
  <c r="P11" i="1" s="1"/>
  <c r="N11" i="1"/>
  <c r="S10" i="1"/>
  <c r="T10" i="1" s="1"/>
  <c r="U10" i="1" s="1"/>
  <c r="N10" i="1"/>
  <c r="O10" i="1" s="1"/>
  <c r="P10" i="1" s="1"/>
  <c r="S9" i="1"/>
  <c r="T9" i="1" s="1"/>
  <c r="U9" i="1" s="1"/>
  <c r="N9" i="1"/>
  <c r="O9" i="1" s="1"/>
  <c r="P9" i="1" s="1"/>
  <c r="S8" i="1"/>
  <c r="T8" i="1" s="1"/>
  <c r="U8" i="1" s="1"/>
  <c r="N8" i="1"/>
  <c r="O8" i="1" s="1"/>
  <c r="P8" i="1" s="1"/>
  <c r="S7" i="1"/>
  <c r="T7" i="1" s="1"/>
  <c r="U7" i="1" s="1"/>
  <c r="N7" i="1"/>
  <c r="O7" i="1" s="1"/>
  <c r="P7" i="1" s="1"/>
  <c r="S6" i="1"/>
  <c r="T6" i="1" s="1"/>
  <c r="U6" i="1" s="1"/>
  <c r="N6" i="1"/>
  <c r="O6" i="1" s="1"/>
  <c r="P6" i="1" s="1"/>
  <c r="T5" i="1"/>
  <c r="U5" i="1" s="1"/>
  <c r="S5" i="1"/>
  <c r="N5" i="1"/>
  <c r="O5" i="1" s="1"/>
  <c r="P5" i="1" s="1"/>
  <c r="T4" i="1"/>
  <c r="U4" i="1" s="1"/>
  <c r="S4" i="1"/>
  <c r="N4" i="1"/>
  <c r="O4" i="1" s="1"/>
  <c r="P4" i="1" s="1"/>
  <c r="S3" i="1"/>
  <c r="T3" i="1" s="1"/>
  <c r="U3" i="1" s="1"/>
  <c r="N3" i="1"/>
  <c r="O3" i="1" s="1"/>
  <c r="P3" i="1" s="1"/>
  <c r="I102" i="1"/>
  <c r="J102" i="1" s="1"/>
  <c r="K102" i="1" s="1"/>
  <c r="I101" i="1"/>
  <c r="J101" i="1" s="1"/>
  <c r="K101" i="1" s="1"/>
  <c r="J100" i="1"/>
  <c r="K100" i="1" s="1"/>
  <c r="I100" i="1"/>
  <c r="I99" i="1"/>
  <c r="J99" i="1" s="1"/>
  <c r="K99" i="1" s="1"/>
  <c r="I98" i="1"/>
  <c r="J98" i="1" s="1"/>
  <c r="K98" i="1" s="1"/>
  <c r="I97" i="1"/>
  <c r="J97" i="1" s="1"/>
  <c r="K97" i="1" s="1"/>
  <c r="I96" i="1"/>
  <c r="J96" i="1" s="1"/>
  <c r="K96" i="1" s="1"/>
  <c r="I95" i="1"/>
  <c r="J95" i="1" s="1"/>
  <c r="K95" i="1" s="1"/>
  <c r="I94" i="1"/>
  <c r="J94" i="1" s="1"/>
  <c r="K94" i="1" s="1"/>
  <c r="I93" i="1"/>
  <c r="J93" i="1" s="1"/>
  <c r="K93" i="1" s="1"/>
  <c r="I92" i="1"/>
  <c r="J92" i="1" s="1"/>
  <c r="K92" i="1" s="1"/>
  <c r="I91" i="1"/>
  <c r="J91" i="1" s="1"/>
  <c r="K91" i="1" s="1"/>
  <c r="I90" i="1"/>
  <c r="J90" i="1" s="1"/>
  <c r="K90" i="1" s="1"/>
  <c r="I89" i="1"/>
  <c r="J89" i="1" s="1"/>
  <c r="K89" i="1" s="1"/>
  <c r="I88" i="1"/>
  <c r="J88" i="1" s="1"/>
  <c r="K88" i="1" s="1"/>
  <c r="I87" i="1"/>
  <c r="J87" i="1" s="1"/>
  <c r="K87" i="1" s="1"/>
  <c r="I86" i="1"/>
  <c r="J86" i="1" s="1"/>
  <c r="K86" i="1" s="1"/>
  <c r="I85" i="1"/>
  <c r="J85" i="1" s="1"/>
  <c r="K85" i="1" s="1"/>
  <c r="I84" i="1"/>
  <c r="J84" i="1" s="1"/>
  <c r="K84" i="1" s="1"/>
  <c r="I83" i="1"/>
  <c r="J83" i="1" s="1"/>
  <c r="K83" i="1" s="1"/>
  <c r="I82" i="1"/>
  <c r="J82" i="1" s="1"/>
  <c r="K82" i="1" s="1"/>
  <c r="I81" i="1"/>
  <c r="J81" i="1" s="1"/>
  <c r="K81" i="1" s="1"/>
  <c r="I80" i="1"/>
  <c r="J80" i="1" s="1"/>
  <c r="K80" i="1" s="1"/>
  <c r="I79" i="1"/>
  <c r="J79" i="1" s="1"/>
  <c r="K79" i="1" s="1"/>
  <c r="I78" i="1"/>
  <c r="J78" i="1" s="1"/>
  <c r="K78" i="1" s="1"/>
  <c r="I77" i="1"/>
  <c r="J77" i="1" s="1"/>
  <c r="K77" i="1" s="1"/>
  <c r="I76" i="1"/>
  <c r="J76" i="1" s="1"/>
  <c r="K76" i="1" s="1"/>
  <c r="I75" i="1"/>
  <c r="J75" i="1" s="1"/>
  <c r="K75" i="1" s="1"/>
  <c r="I74" i="1"/>
  <c r="J74" i="1" s="1"/>
  <c r="K74" i="1" s="1"/>
  <c r="I73" i="1"/>
  <c r="J73" i="1" s="1"/>
  <c r="K73" i="1" s="1"/>
  <c r="I72" i="1"/>
  <c r="J72" i="1" s="1"/>
  <c r="K72" i="1" s="1"/>
  <c r="I71" i="1"/>
  <c r="J71" i="1" s="1"/>
  <c r="K71" i="1" s="1"/>
  <c r="I70" i="1"/>
  <c r="J70" i="1" s="1"/>
  <c r="K70" i="1" s="1"/>
  <c r="I69" i="1"/>
  <c r="J69" i="1" s="1"/>
  <c r="K69" i="1" s="1"/>
  <c r="I68" i="1"/>
  <c r="J68" i="1" s="1"/>
  <c r="K68" i="1" s="1"/>
  <c r="I67" i="1"/>
  <c r="J67" i="1" s="1"/>
  <c r="K67" i="1" s="1"/>
  <c r="I66" i="1"/>
  <c r="J66" i="1" s="1"/>
  <c r="K66" i="1" s="1"/>
  <c r="I65" i="1"/>
  <c r="J65" i="1" s="1"/>
  <c r="K65" i="1" s="1"/>
  <c r="I64" i="1"/>
  <c r="J64" i="1" s="1"/>
  <c r="K64" i="1" s="1"/>
  <c r="I63" i="1"/>
  <c r="J63" i="1" s="1"/>
  <c r="K63" i="1" s="1"/>
  <c r="I62" i="1"/>
  <c r="J62" i="1" s="1"/>
  <c r="K62" i="1" s="1"/>
  <c r="I61" i="1"/>
  <c r="J61" i="1" s="1"/>
  <c r="K61" i="1" s="1"/>
  <c r="I60" i="1"/>
  <c r="J60" i="1" s="1"/>
  <c r="K60" i="1" s="1"/>
  <c r="I59" i="1"/>
  <c r="J59" i="1" s="1"/>
  <c r="K59" i="1" s="1"/>
  <c r="I58" i="1"/>
  <c r="J58" i="1" s="1"/>
  <c r="K58" i="1" s="1"/>
  <c r="I57" i="1"/>
  <c r="J57" i="1" s="1"/>
  <c r="K57" i="1" s="1"/>
  <c r="I56" i="1"/>
  <c r="J56" i="1" s="1"/>
  <c r="K56" i="1" s="1"/>
  <c r="I55" i="1"/>
  <c r="J55" i="1" s="1"/>
  <c r="K55" i="1" s="1"/>
  <c r="I54" i="1"/>
  <c r="J54" i="1" s="1"/>
  <c r="K54" i="1" s="1"/>
  <c r="I53" i="1"/>
  <c r="J53" i="1" s="1"/>
  <c r="K53" i="1" s="1"/>
  <c r="I52" i="1"/>
  <c r="J52" i="1" s="1"/>
  <c r="K52" i="1" s="1"/>
  <c r="I51" i="1"/>
  <c r="J51" i="1" s="1"/>
  <c r="K51" i="1" s="1"/>
  <c r="I50" i="1"/>
  <c r="J50" i="1" s="1"/>
  <c r="K50" i="1" s="1"/>
  <c r="I49" i="1"/>
  <c r="J49" i="1" s="1"/>
  <c r="K49" i="1" s="1"/>
  <c r="I48" i="1"/>
  <c r="J48" i="1" s="1"/>
  <c r="K48" i="1" s="1"/>
  <c r="I47" i="1"/>
  <c r="J47" i="1" s="1"/>
  <c r="K47" i="1" s="1"/>
  <c r="I46" i="1"/>
  <c r="J46" i="1" s="1"/>
  <c r="K46" i="1" s="1"/>
  <c r="I45" i="1"/>
  <c r="J45" i="1" s="1"/>
  <c r="K45" i="1" s="1"/>
  <c r="I44" i="1"/>
  <c r="J44" i="1" s="1"/>
  <c r="K44" i="1" s="1"/>
  <c r="I43" i="1"/>
  <c r="J43" i="1" s="1"/>
  <c r="K43" i="1" s="1"/>
  <c r="I42" i="1"/>
  <c r="J42" i="1" s="1"/>
  <c r="K42" i="1" s="1"/>
  <c r="I41" i="1"/>
  <c r="J41" i="1" s="1"/>
  <c r="K41" i="1" s="1"/>
  <c r="I40" i="1"/>
  <c r="J40" i="1" s="1"/>
  <c r="K40" i="1" s="1"/>
  <c r="I39" i="1"/>
  <c r="J39" i="1" s="1"/>
  <c r="K39" i="1" s="1"/>
  <c r="I38" i="1"/>
  <c r="J38" i="1" s="1"/>
  <c r="K38" i="1" s="1"/>
  <c r="I37" i="1"/>
  <c r="J37" i="1" s="1"/>
  <c r="K37" i="1" s="1"/>
  <c r="I36" i="1"/>
  <c r="J36" i="1" s="1"/>
  <c r="K36" i="1" s="1"/>
  <c r="I35" i="1"/>
  <c r="J35" i="1" s="1"/>
  <c r="K35" i="1" s="1"/>
  <c r="I34" i="1"/>
  <c r="J34" i="1" s="1"/>
  <c r="K34" i="1" s="1"/>
  <c r="I33" i="1"/>
  <c r="J33" i="1" s="1"/>
  <c r="K33" i="1" s="1"/>
  <c r="I32" i="1"/>
  <c r="J32" i="1" s="1"/>
  <c r="K32" i="1" s="1"/>
  <c r="I31" i="1"/>
  <c r="J31" i="1" s="1"/>
  <c r="K31" i="1" s="1"/>
  <c r="I30" i="1"/>
  <c r="J30" i="1" s="1"/>
  <c r="K30" i="1" s="1"/>
  <c r="I29" i="1"/>
  <c r="J29" i="1" s="1"/>
  <c r="K29" i="1" s="1"/>
  <c r="I28" i="1"/>
  <c r="J28" i="1" s="1"/>
  <c r="K28" i="1" s="1"/>
  <c r="I27" i="1"/>
  <c r="J27" i="1" s="1"/>
  <c r="K27" i="1" s="1"/>
  <c r="I26" i="1"/>
  <c r="J26" i="1" s="1"/>
  <c r="K26" i="1" s="1"/>
  <c r="I25" i="1"/>
  <c r="J25" i="1" s="1"/>
  <c r="K25" i="1" s="1"/>
  <c r="I24" i="1"/>
  <c r="J24" i="1" s="1"/>
  <c r="K24" i="1" s="1"/>
  <c r="I23" i="1"/>
  <c r="J23" i="1" s="1"/>
  <c r="K23" i="1" s="1"/>
  <c r="I22" i="1"/>
  <c r="J22" i="1" s="1"/>
  <c r="K22" i="1" s="1"/>
  <c r="J21" i="1"/>
  <c r="K21" i="1" s="1"/>
  <c r="I21" i="1"/>
  <c r="I20" i="1"/>
  <c r="J20" i="1" s="1"/>
  <c r="K20" i="1" s="1"/>
  <c r="I19" i="1"/>
  <c r="J19" i="1" s="1"/>
  <c r="K19" i="1" s="1"/>
  <c r="I18" i="1"/>
  <c r="J18" i="1" s="1"/>
  <c r="K18" i="1" s="1"/>
  <c r="I17" i="1"/>
  <c r="J17" i="1" s="1"/>
  <c r="K17" i="1" s="1"/>
  <c r="I16" i="1"/>
  <c r="J16" i="1" s="1"/>
  <c r="K16" i="1" s="1"/>
  <c r="I15" i="1"/>
  <c r="J15" i="1" s="1"/>
  <c r="K15" i="1" s="1"/>
  <c r="I14" i="1"/>
  <c r="J14" i="1" s="1"/>
  <c r="K14" i="1" s="1"/>
  <c r="I13" i="1"/>
  <c r="J13" i="1" s="1"/>
  <c r="K13" i="1" s="1"/>
  <c r="I12" i="1"/>
  <c r="J12" i="1" s="1"/>
  <c r="K12" i="1" s="1"/>
  <c r="I11" i="1"/>
  <c r="J11" i="1" s="1"/>
  <c r="K11" i="1" s="1"/>
  <c r="I10" i="1"/>
  <c r="J10" i="1" s="1"/>
  <c r="K10" i="1" s="1"/>
  <c r="I9" i="1"/>
  <c r="J9" i="1" s="1"/>
  <c r="K9" i="1" s="1"/>
  <c r="I8" i="1"/>
  <c r="J8" i="1" s="1"/>
  <c r="K8" i="1" s="1"/>
  <c r="I7" i="1"/>
  <c r="J7" i="1" s="1"/>
  <c r="K7" i="1" s="1"/>
  <c r="I6" i="1"/>
  <c r="J6" i="1" s="1"/>
  <c r="K6" i="1" s="1"/>
  <c r="I5" i="1"/>
  <c r="J5" i="1" s="1"/>
  <c r="K5" i="1" s="1"/>
  <c r="I4" i="1"/>
  <c r="J4" i="1" s="1"/>
  <c r="K4" i="1" s="1"/>
  <c r="I3" i="1"/>
  <c r="J3" i="1" s="1"/>
  <c r="K3" i="1" s="1"/>
  <c r="E11" i="1"/>
  <c r="F11" i="1" s="1"/>
  <c r="E43" i="1"/>
  <c r="F43" i="1" s="1"/>
  <c r="E75" i="1"/>
  <c r="F75" i="1" s="1"/>
  <c r="D4" i="1"/>
  <c r="E4" i="1" s="1"/>
  <c r="F4" i="1" s="1"/>
  <c r="D5" i="1"/>
  <c r="E5" i="1" s="1"/>
  <c r="F5" i="1" s="1"/>
  <c r="D6" i="1"/>
  <c r="E6" i="1" s="1"/>
  <c r="F6" i="1" s="1"/>
  <c r="D7" i="1"/>
  <c r="E7" i="1" s="1"/>
  <c r="F7" i="1" s="1"/>
  <c r="D8" i="1"/>
  <c r="E8" i="1" s="1"/>
  <c r="F8" i="1" s="1"/>
  <c r="D9" i="1"/>
  <c r="E9" i="1" s="1"/>
  <c r="F9" i="1" s="1"/>
  <c r="D10" i="1"/>
  <c r="E10" i="1" s="1"/>
  <c r="F10" i="1" s="1"/>
  <c r="D11" i="1"/>
  <c r="D12" i="1"/>
  <c r="E12" i="1" s="1"/>
  <c r="F12" i="1" s="1"/>
  <c r="D13" i="1"/>
  <c r="E13" i="1" s="1"/>
  <c r="F13" i="1" s="1"/>
  <c r="D14" i="1"/>
  <c r="E14" i="1" s="1"/>
  <c r="F14" i="1" s="1"/>
  <c r="D15" i="1"/>
  <c r="E15" i="1" s="1"/>
  <c r="F15" i="1" s="1"/>
  <c r="D16" i="1"/>
  <c r="E16" i="1" s="1"/>
  <c r="F16" i="1" s="1"/>
  <c r="D17" i="1"/>
  <c r="E17" i="1" s="1"/>
  <c r="F17" i="1" s="1"/>
  <c r="D18" i="1"/>
  <c r="E18" i="1" s="1"/>
  <c r="F18" i="1" s="1"/>
  <c r="D19" i="1"/>
  <c r="E19" i="1" s="1"/>
  <c r="F19" i="1" s="1"/>
  <c r="D20" i="1"/>
  <c r="E20" i="1" s="1"/>
  <c r="F20" i="1" s="1"/>
  <c r="D21" i="1"/>
  <c r="E21" i="1" s="1"/>
  <c r="F21" i="1" s="1"/>
  <c r="D22" i="1"/>
  <c r="E22" i="1" s="1"/>
  <c r="F22" i="1" s="1"/>
  <c r="D23" i="1"/>
  <c r="E23" i="1" s="1"/>
  <c r="F23" i="1" s="1"/>
  <c r="D24" i="1"/>
  <c r="E24" i="1" s="1"/>
  <c r="F24" i="1" s="1"/>
  <c r="D25" i="1"/>
  <c r="E25" i="1" s="1"/>
  <c r="F25" i="1" s="1"/>
  <c r="D26" i="1"/>
  <c r="E26" i="1" s="1"/>
  <c r="F26" i="1" s="1"/>
  <c r="D27" i="1"/>
  <c r="E27" i="1" s="1"/>
  <c r="F27" i="1" s="1"/>
  <c r="D28" i="1"/>
  <c r="E28" i="1" s="1"/>
  <c r="F28" i="1" s="1"/>
  <c r="D29" i="1"/>
  <c r="E29" i="1" s="1"/>
  <c r="F29" i="1" s="1"/>
  <c r="D30" i="1"/>
  <c r="E30" i="1" s="1"/>
  <c r="F30" i="1" s="1"/>
  <c r="D31" i="1"/>
  <c r="E31" i="1" s="1"/>
  <c r="F31" i="1" s="1"/>
  <c r="D32" i="1"/>
  <c r="E32" i="1" s="1"/>
  <c r="F32" i="1" s="1"/>
  <c r="D33" i="1"/>
  <c r="E33" i="1" s="1"/>
  <c r="F33" i="1" s="1"/>
  <c r="D34" i="1"/>
  <c r="E34" i="1" s="1"/>
  <c r="F34" i="1" s="1"/>
  <c r="D35" i="1"/>
  <c r="E35" i="1" s="1"/>
  <c r="F35" i="1" s="1"/>
  <c r="D36" i="1"/>
  <c r="E36" i="1" s="1"/>
  <c r="F36" i="1" s="1"/>
  <c r="D37" i="1"/>
  <c r="E37" i="1" s="1"/>
  <c r="F37" i="1" s="1"/>
  <c r="D38" i="1"/>
  <c r="E38" i="1" s="1"/>
  <c r="F38" i="1" s="1"/>
  <c r="D39" i="1"/>
  <c r="E39" i="1" s="1"/>
  <c r="F39" i="1" s="1"/>
  <c r="D40" i="1"/>
  <c r="E40" i="1" s="1"/>
  <c r="F40" i="1" s="1"/>
  <c r="D41" i="1"/>
  <c r="E41" i="1" s="1"/>
  <c r="F41" i="1" s="1"/>
  <c r="D42" i="1"/>
  <c r="E42" i="1" s="1"/>
  <c r="F42" i="1" s="1"/>
  <c r="D43" i="1"/>
  <c r="D44" i="1"/>
  <c r="E44" i="1" s="1"/>
  <c r="F44" i="1" s="1"/>
  <c r="D45" i="1"/>
  <c r="E45" i="1" s="1"/>
  <c r="F45" i="1" s="1"/>
  <c r="D46" i="1"/>
  <c r="E46" i="1" s="1"/>
  <c r="F46" i="1" s="1"/>
  <c r="D47" i="1"/>
  <c r="E47" i="1" s="1"/>
  <c r="F47" i="1" s="1"/>
  <c r="D48" i="1"/>
  <c r="E48" i="1" s="1"/>
  <c r="F48" i="1" s="1"/>
  <c r="D49" i="1"/>
  <c r="E49" i="1" s="1"/>
  <c r="F49" i="1" s="1"/>
  <c r="D50" i="1"/>
  <c r="E50" i="1" s="1"/>
  <c r="F50" i="1" s="1"/>
  <c r="D51" i="1"/>
  <c r="E51" i="1" s="1"/>
  <c r="F51" i="1" s="1"/>
  <c r="D52" i="1"/>
  <c r="E52" i="1" s="1"/>
  <c r="F52" i="1" s="1"/>
  <c r="D53" i="1"/>
  <c r="E53" i="1" s="1"/>
  <c r="F53" i="1" s="1"/>
  <c r="D54" i="1"/>
  <c r="E54" i="1" s="1"/>
  <c r="F54" i="1" s="1"/>
  <c r="D55" i="1"/>
  <c r="E55" i="1" s="1"/>
  <c r="F55" i="1" s="1"/>
  <c r="D56" i="1"/>
  <c r="E56" i="1" s="1"/>
  <c r="F56" i="1" s="1"/>
  <c r="D57" i="1"/>
  <c r="E57" i="1" s="1"/>
  <c r="F57" i="1" s="1"/>
  <c r="D58" i="1"/>
  <c r="E58" i="1" s="1"/>
  <c r="F58" i="1" s="1"/>
  <c r="D59" i="1"/>
  <c r="E59" i="1" s="1"/>
  <c r="F59" i="1" s="1"/>
  <c r="D60" i="1"/>
  <c r="E60" i="1" s="1"/>
  <c r="F60" i="1" s="1"/>
  <c r="D61" i="1"/>
  <c r="E61" i="1" s="1"/>
  <c r="F61" i="1" s="1"/>
  <c r="D62" i="1"/>
  <c r="E62" i="1" s="1"/>
  <c r="F62" i="1" s="1"/>
  <c r="D63" i="1"/>
  <c r="E63" i="1" s="1"/>
  <c r="F63" i="1" s="1"/>
  <c r="D64" i="1"/>
  <c r="E64" i="1" s="1"/>
  <c r="F64" i="1" s="1"/>
  <c r="D65" i="1"/>
  <c r="E65" i="1" s="1"/>
  <c r="F65" i="1" s="1"/>
  <c r="D66" i="1"/>
  <c r="E66" i="1" s="1"/>
  <c r="F66" i="1" s="1"/>
  <c r="D67" i="1"/>
  <c r="E67" i="1" s="1"/>
  <c r="F67" i="1" s="1"/>
  <c r="D68" i="1"/>
  <c r="E68" i="1" s="1"/>
  <c r="F68" i="1" s="1"/>
  <c r="D69" i="1"/>
  <c r="E69" i="1" s="1"/>
  <c r="F69" i="1" s="1"/>
  <c r="D70" i="1"/>
  <c r="E70" i="1" s="1"/>
  <c r="F70" i="1" s="1"/>
  <c r="D71" i="1"/>
  <c r="E71" i="1" s="1"/>
  <c r="F71" i="1" s="1"/>
  <c r="D72" i="1"/>
  <c r="E72" i="1" s="1"/>
  <c r="F72" i="1" s="1"/>
  <c r="D73" i="1"/>
  <c r="E73" i="1" s="1"/>
  <c r="F73" i="1" s="1"/>
  <c r="D74" i="1"/>
  <c r="E74" i="1" s="1"/>
  <c r="F74" i="1" s="1"/>
  <c r="D75" i="1"/>
  <c r="D76" i="1"/>
  <c r="E76" i="1" s="1"/>
  <c r="F76" i="1" s="1"/>
  <c r="D77" i="1"/>
  <c r="E77" i="1" s="1"/>
  <c r="F77" i="1" s="1"/>
  <c r="D78" i="1"/>
  <c r="E78" i="1" s="1"/>
  <c r="F78" i="1" s="1"/>
  <c r="D79" i="1"/>
  <c r="E79" i="1" s="1"/>
  <c r="F79" i="1" s="1"/>
  <c r="D80" i="1"/>
  <c r="E80" i="1" s="1"/>
  <c r="F80" i="1" s="1"/>
  <c r="D81" i="1"/>
  <c r="E81" i="1" s="1"/>
  <c r="F81" i="1" s="1"/>
  <c r="D82" i="1"/>
  <c r="E82" i="1" s="1"/>
  <c r="F82" i="1" s="1"/>
  <c r="D83" i="1"/>
  <c r="E83" i="1" s="1"/>
  <c r="F83" i="1" s="1"/>
  <c r="D84" i="1"/>
  <c r="E84" i="1" s="1"/>
  <c r="F84" i="1" s="1"/>
  <c r="D85" i="1"/>
  <c r="E85" i="1" s="1"/>
  <c r="F85" i="1" s="1"/>
  <c r="D86" i="1"/>
  <c r="E86" i="1" s="1"/>
  <c r="F86" i="1" s="1"/>
  <c r="D87" i="1"/>
  <c r="E87" i="1" s="1"/>
  <c r="F87" i="1" s="1"/>
  <c r="D88" i="1"/>
  <c r="E88" i="1" s="1"/>
  <c r="F88" i="1" s="1"/>
  <c r="D89" i="1"/>
  <c r="E89" i="1" s="1"/>
  <c r="F89" i="1" s="1"/>
  <c r="D90" i="1"/>
  <c r="E90" i="1" s="1"/>
  <c r="F90" i="1" s="1"/>
  <c r="D91" i="1"/>
  <c r="E91" i="1" s="1"/>
  <c r="F91" i="1" s="1"/>
  <c r="D92" i="1"/>
  <c r="E92" i="1" s="1"/>
  <c r="F92" i="1" s="1"/>
  <c r="D93" i="1"/>
  <c r="E93" i="1" s="1"/>
  <c r="F93" i="1" s="1"/>
  <c r="D94" i="1"/>
  <c r="E94" i="1" s="1"/>
  <c r="F94" i="1" s="1"/>
  <c r="D95" i="1"/>
  <c r="E95" i="1" s="1"/>
  <c r="F95" i="1" s="1"/>
  <c r="D96" i="1"/>
  <c r="E96" i="1" s="1"/>
  <c r="F96" i="1" s="1"/>
  <c r="D97" i="1"/>
  <c r="E97" i="1" s="1"/>
  <c r="F97" i="1" s="1"/>
  <c r="D98" i="1"/>
  <c r="E98" i="1" s="1"/>
  <c r="F98" i="1" s="1"/>
  <c r="D99" i="1"/>
  <c r="E99" i="1" s="1"/>
  <c r="F99" i="1" s="1"/>
  <c r="D100" i="1"/>
  <c r="E100" i="1" s="1"/>
  <c r="F100" i="1" s="1"/>
  <c r="D101" i="1"/>
  <c r="E101" i="1" s="1"/>
  <c r="F101" i="1" s="1"/>
  <c r="D102" i="1"/>
  <c r="E102" i="1" s="1"/>
  <c r="F102" i="1" s="1"/>
  <c r="D3" i="1"/>
  <c r="E3" i="1" s="1"/>
  <c r="F3" i="1" s="1"/>
  <c r="AT103" i="1" l="1"/>
  <c r="AY103" i="1"/>
  <c r="AE103" i="1"/>
  <c r="AO103" i="1"/>
  <c r="Z103" i="1"/>
  <c r="AJ103" i="1"/>
  <c r="P103" i="1"/>
  <c r="U103" i="1"/>
  <c r="F103" i="1"/>
  <c r="K103" i="1"/>
</calcChain>
</file>

<file path=xl/sharedStrings.xml><?xml version="1.0" encoding="utf-8"?>
<sst xmlns="http://schemas.openxmlformats.org/spreadsheetml/2006/main" count="669" uniqueCount="146">
  <si>
    <t>Ind 1</t>
  </si>
  <si>
    <t>Node Number</t>
  </si>
  <si>
    <t>SIL
(Sum of Incoming pckt lengths)</t>
  </si>
  <si>
    <t xml:space="preserve">SOL
(Sum of Outgoing pckt lengths) </t>
  </si>
  <si>
    <t>No.of Bytes in Frame (Bytes)</t>
  </si>
  <si>
    <t>No.of Bits in Frame (Bits)</t>
  </si>
  <si>
    <t>Ind1 Throughput</t>
  </si>
  <si>
    <t>Node 1</t>
  </si>
  <si>
    <t>Node 2</t>
  </si>
  <si>
    <t>Node 3</t>
  </si>
  <si>
    <t>Node 4</t>
  </si>
  <si>
    <t>Node 5</t>
  </si>
  <si>
    <t>Node 6</t>
  </si>
  <si>
    <t>Node 7</t>
  </si>
  <si>
    <t>Node 8</t>
  </si>
  <si>
    <t>Node 9</t>
  </si>
  <si>
    <t>Node 10</t>
  </si>
  <si>
    <t>Node 11</t>
  </si>
  <si>
    <t>Node 12</t>
  </si>
  <si>
    <t>Node 13</t>
  </si>
  <si>
    <t>Node 14</t>
  </si>
  <si>
    <t>Node 15</t>
  </si>
  <si>
    <t>Node 16</t>
  </si>
  <si>
    <t>Node 17</t>
  </si>
  <si>
    <t>Node 18</t>
  </si>
  <si>
    <t>Node 19</t>
  </si>
  <si>
    <t>Node 20</t>
  </si>
  <si>
    <t>Node 21</t>
  </si>
  <si>
    <t>Node 22</t>
  </si>
  <si>
    <t>Node 23</t>
  </si>
  <si>
    <t>Node 24</t>
  </si>
  <si>
    <t>Node 25</t>
  </si>
  <si>
    <t>Node 26</t>
  </si>
  <si>
    <t>Node 27</t>
  </si>
  <si>
    <t>Node 28</t>
  </si>
  <si>
    <t>Node 29</t>
  </si>
  <si>
    <t>Node 30</t>
  </si>
  <si>
    <t>Node 31</t>
  </si>
  <si>
    <t>Node 32</t>
  </si>
  <si>
    <t>Node 33</t>
  </si>
  <si>
    <t>Node 34</t>
  </si>
  <si>
    <t>Node 35</t>
  </si>
  <si>
    <t>Node 36</t>
  </si>
  <si>
    <t>Node 37</t>
  </si>
  <si>
    <t>Node 38</t>
  </si>
  <si>
    <t>Node 39</t>
  </si>
  <si>
    <t>Node 40</t>
  </si>
  <si>
    <t>Node 41</t>
  </si>
  <si>
    <t>Node 42</t>
  </si>
  <si>
    <t>Node 43</t>
  </si>
  <si>
    <t>Node 44</t>
  </si>
  <si>
    <t>Node 45</t>
  </si>
  <si>
    <t>Node 46</t>
  </si>
  <si>
    <t>Node 47</t>
  </si>
  <si>
    <t>Node 48</t>
  </si>
  <si>
    <t>Node 49</t>
  </si>
  <si>
    <t>Node 50</t>
  </si>
  <si>
    <t>Node 51</t>
  </si>
  <si>
    <t>Node 52</t>
  </si>
  <si>
    <t>Node 53</t>
  </si>
  <si>
    <t>Node 54</t>
  </si>
  <si>
    <t>Node 55</t>
  </si>
  <si>
    <t>Node 56</t>
  </si>
  <si>
    <t>Node 57</t>
  </si>
  <si>
    <t>Node 58</t>
  </si>
  <si>
    <t>Node 59</t>
  </si>
  <si>
    <t>Node 60</t>
  </si>
  <si>
    <t>Node 61</t>
  </si>
  <si>
    <t>Node 62</t>
  </si>
  <si>
    <t>Node 63</t>
  </si>
  <si>
    <t>Node 64</t>
  </si>
  <si>
    <t>Node 65</t>
  </si>
  <si>
    <t>Node 66</t>
  </si>
  <si>
    <t>Node 67</t>
  </si>
  <si>
    <t>Node 68</t>
  </si>
  <si>
    <t>Node 69</t>
  </si>
  <si>
    <t>Node 70</t>
  </si>
  <si>
    <t>Node 71</t>
  </si>
  <si>
    <t>Node 72</t>
  </si>
  <si>
    <t>Node 73</t>
  </si>
  <si>
    <t>Node 74</t>
  </si>
  <si>
    <t>Node 75</t>
  </si>
  <si>
    <t>Node 76</t>
  </si>
  <si>
    <t>Node 77</t>
  </si>
  <si>
    <t>Node 78</t>
  </si>
  <si>
    <t>Node 79</t>
  </si>
  <si>
    <t>Node 80</t>
  </si>
  <si>
    <t>Node 81</t>
  </si>
  <si>
    <t>Node 82</t>
  </si>
  <si>
    <t>Node 83</t>
  </si>
  <si>
    <t>Node 84</t>
  </si>
  <si>
    <t>Node 85</t>
  </si>
  <si>
    <t>Node 86</t>
  </si>
  <si>
    <t>Node 87</t>
  </si>
  <si>
    <t>Node 88</t>
  </si>
  <si>
    <t>Node 89</t>
  </si>
  <si>
    <t>Node 90</t>
  </si>
  <si>
    <t>Node 91</t>
  </si>
  <si>
    <t>Node 92</t>
  </si>
  <si>
    <t>Node 93</t>
  </si>
  <si>
    <t>Node 94</t>
  </si>
  <si>
    <t>Node 95</t>
  </si>
  <si>
    <t>Node 96</t>
  </si>
  <si>
    <t>Node 97</t>
  </si>
  <si>
    <t>Node 98</t>
  </si>
  <si>
    <t>Node 99</t>
  </si>
  <si>
    <t>Node 100</t>
  </si>
  <si>
    <t>Average</t>
  </si>
  <si>
    <t>Ind 2</t>
  </si>
  <si>
    <t>Ind 3</t>
  </si>
  <si>
    <t>Ind 4</t>
  </si>
  <si>
    <t>Ind2 Throughput</t>
  </si>
  <si>
    <t>Ind3 Throughput</t>
  </si>
  <si>
    <t>Ind4 Throughput</t>
  </si>
  <si>
    <t>Ind 5</t>
  </si>
  <si>
    <t>Ind 6</t>
  </si>
  <si>
    <t>Ind 7</t>
  </si>
  <si>
    <t>Ind 8</t>
  </si>
  <si>
    <t>Ind 9</t>
  </si>
  <si>
    <t>Ind 10</t>
  </si>
  <si>
    <t>Ind10 Throughput</t>
  </si>
  <si>
    <t>Ind9 Throughput</t>
  </si>
  <si>
    <t>Ind8 Throughput</t>
  </si>
  <si>
    <t>Ind7 Throughput</t>
  </si>
  <si>
    <t>Ind6 Throughput</t>
  </si>
  <si>
    <t>Ind5 Throughput</t>
  </si>
  <si>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</si>
  <si>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</si>
  <si>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</si>
  <si>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</si>
  <si>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</si>
  <si>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</si>
  <si>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</si>
  <si>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</si>
  <si>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</si>
  <si>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</si>
  <si>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Inference / Analysis</t>
  </si>
  <si>
    <t>The Maximum Throughput Obtained through Clustering = 481 bps</t>
  </si>
  <si>
    <t>Throughput 
(Post Sampling)</t>
  </si>
  <si>
    <t>The MaximumThroughput Obtained through NSGA II Optimization  =  476 bps</t>
  </si>
  <si>
    <t>The MaximumThroughput Obtained through NSGA II (Post Sampling)  =  476 bps</t>
  </si>
  <si>
    <t>Throughput 
(Post Crossover)</t>
  </si>
  <si>
    <t>The MaximumThroughput Obtained through NSGA II (Post Crossover)  =  479 bps</t>
  </si>
  <si>
    <t>Throughput 
(Post Mutation)</t>
  </si>
  <si>
    <t>The MaximumThroughput Obtained through NSGA II (Post Crossover)  = 480 bps</t>
  </si>
  <si>
    <t>Throughput 
(Initial Population)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</si>
</sst>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u/>
      <sz val="16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3A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Throughput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05905389277321"/>
          <c:y val="0.18799692023229922"/>
          <c:w val="0.66842736124581503"/>
          <c:h val="0.60783795155376574"/>
        </c:manualLayout>
      </c:layout>
      <c:lineChart>
        <c:grouping val="standard"/>
        <c:varyColors val="0"/>
        <c:ser>
          <c:idx val="0"/>
          <c:order val="0"/>
          <c:tx>
            <c:strRef>
              <c:f>Plot!$A$2</c:f>
              <c:strCache>
                <c:ptCount val="1"/>
                <c:pt idx="0">
                  <c:v>Throughput 
(Initial Population)</c:v>
                </c:pt>
              </c:strCache>
            </c:strRef>
          </c:tx>
          <c:spPr>
            <a:ln w="38100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  <a:prstDash val="solid"/>
              </a:ln>
              <a:effectLst/>
            </c:spPr>
          </c:marker>
          <c:cat>
            <c:strRef>
              <c:f>Plot!$B$1:$K$1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Plot!$B$2:$K$2</c:f>
              <c:numCache>
                <c:formatCode>General</c:formatCode>
                <c:ptCount val="10"/>
                <c:pt idx="0">
                  <c:v>466.13333333333298</c:v>
                </c:pt>
                <c:pt idx="1">
                  <c:v>472.17777777777695</c:v>
                </c:pt>
                <c:pt idx="2">
                  <c:v>469.33333333333297</c:v>
                </c:pt>
                <c:pt idx="3">
                  <c:v>473.599999999999</c:v>
                </c:pt>
                <c:pt idx="4">
                  <c:v>473.599999999999</c:v>
                </c:pt>
                <c:pt idx="5">
                  <c:v>474.666666666666</c:v>
                </c:pt>
                <c:pt idx="6">
                  <c:v>470.75555555555502</c:v>
                </c:pt>
                <c:pt idx="7">
                  <c:v>473.95555555555501</c:v>
                </c:pt>
                <c:pt idx="8">
                  <c:v>471.82222222222202</c:v>
                </c:pt>
                <c:pt idx="9">
                  <c:v>476.44444444444395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4A-458A-B170-5C6792BF24C0}"/>
            </c:ext>
          </c:extLst>
        </c:ser>
        <c:ser>
          <c:idx val="1"/>
          <c:order val="1"/>
          <c:tx>
            <c:strRef>
              <c:f>Plot!$A$3</c:f>
              <c:strCache>
                <c:ptCount val="1"/>
                <c:pt idx="0">
                  <c:v>Throughput 
(Post Sampling)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Plot!$B$1:$K$1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Plot!$B$3:$K$3</c:f>
              <c:numCache>
                <c:formatCode>General</c:formatCode>
                <c:ptCount val="10"/>
                <c:pt idx="0">
                  <c:v>475.02222222222201</c:v>
                </c:pt>
                <c:pt idx="1">
                  <c:v>470.39999999999901</c:v>
                </c:pt>
                <c:pt idx="2">
                  <c:v>472.888888888888</c:v>
                </c:pt>
                <c:pt idx="3">
                  <c:v>473.24444444444396</c:v>
                </c:pt>
                <c:pt idx="4">
                  <c:v>471.82222222222202</c:v>
                </c:pt>
                <c:pt idx="5">
                  <c:v>467.19999999999902</c:v>
                </c:pt>
                <c:pt idx="6">
                  <c:v>474.31111111111102</c:v>
                </c:pt>
                <c:pt idx="7">
                  <c:v>476.44444444444395</c:v>
                </c:pt>
                <c:pt idx="8">
                  <c:v>471.82222222222202</c:v>
                </c:pt>
                <c:pt idx="9">
                  <c:v>476.08888888888805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81-4556-970D-9A00A5B22DAF}"/>
            </c:ext>
          </c:extLst>
        </c:ser>
        <c:ser>
          <c:idx val="2"/>
          <c:order val="2"/>
          <c:tx>
            <c:strRef>
              <c:f>Plot!$A$4</c:f>
              <c:strCache>
                <c:ptCount val="1"/>
                <c:pt idx="0">
                  <c:v>Throughput 
(Post Crossover)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Plot!$B$1:$K$1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Plot!$B$4:$K$4</c:f>
              <c:numCache>
                <c:formatCode>General</c:formatCode>
                <c:ptCount val="10"/>
                <c:pt idx="0">
                  <c:v>479.28888888888804</c:v>
                </c:pt>
                <c:pt idx="1">
                  <c:v>473.95555555555501</c:v>
                </c:pt>
                <c:pt idx="2">
                  <c:v>472.17777777777695</c:v>
                </c:pt>
                <c:pt idx="3">
                  <c:v>472.17777777777695</c:v>
                </c:pt>
                <c:pt idx="4">
                  <c:v>477.155555555555</c:v>
                </c:pt>
                <c:pt idx="5">
                  <c:v>475.73333333333301</c:v>
                </c:pt>
                <c:pt idx="6">
                  <c:v>469.33333333333297</c:v>
                </c:pt>
                <c:pt idx="7">
                  <c:v>474.666666666666</c:v>
                </c:pt>
                <c:pt idx="8">
                  <c:v>479.28888888888804</c:v>
                </c:pt>
                <c:pt idx="9">
                  <c:v>477.86666666666599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9-49EA-AE22-3A3E86749F2E}"/>
            </c:ext>
          </c:extLst>
        </c:ser>
        <c:ser>
          <c:idx val="3"/>
          <c:order val="3"/>
          <c:tx>
            <c:strRef>
              <c:f>Plot!$A$5</c:f>
              <c:strCache>
                <c:ptCount val="1"/>
                <c:pt idx="0">
                  <c:v>Throughput 
(Post Mutation)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strRef>
              <c:f>Plot!$B$1:$K$1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Plot!$B$5:$K$5</c:f>
              <c:numCache>
                <c:formatCode>General</c:formatCode>
                <c:ptCount val="10"/>
                <c:pt idx="0">
                  <c:v>470.39999999999901</c:v>
                </c:pt>
                <c:pt idx="1">
                  <c:v>470.39999999999901</c:v>
                </c:pt>
                <c:pt idx="2">
                  <c:v>470.39999999999901</c:v>
                </c:pt>
                <c:pt idx="3">
                  <c:v>478.933333333333</c:v>
                </c:pt>
                <c:pt idx="4">
                  <c:v>468.26666666666597</c:v>
                </c:pt>
                <c:pt idx="5">
                  <c:v>480.35555555555504</c:v>
                </c:pt>
                <c:pt idx="6">
                  <c:v>476.79999999999899</c:v>
                </c:pt>
                <c:pt idx="7">
                  <c:v>466.48888888888803</c:v>
                </c:pt>
                <c:pt idx="8">
                  <c:v>474.666666666666</c:v>
                </c:pt>
                <c:pt idx="9">
                  <c:v>471.46666666666601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A5-4E25-9D6E-404BEB814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068511"/>
        <c:axId val="718071839"/>
      </c:lineChart>
      <c:catAx>
        <c:axId val="71806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Individual Gateway Placement Strategies from NSGA II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14660422796837239"/>
              <c:y val="0.901713465062150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718071839"/>
        <c:crosses val="autoZero"/>
        <c:auto val="1"/>
        <c:lblAlgn val="ctr"/>
        <c:lblOffset val="100"/>
        <c:noMultiLvlLbl val="0"/>
      </c:catAx>
      <c:valAx>
        <c:axId val="7180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</a:rPr>
                  <a:t>Throughput (bps)</a:t>
                </a:r>
              </a:p>
            </c:rich>
          </c:tx>
          <c:layout>
            <c:manualLayout>
              <c:xMode val="edge"/>
              <c:yMode val="edge"/>
              <c:x val="2.0995292255134773E-2"/>
              <c:y val="0.303811355641613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mpd="sng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718068511"/>
        <c:crosses val="autoZero"/>
        <c:crossBetween val="between"/>
      </c:valAx>
      <c:spPr>
        <a:noFill/>
        <a:ln>
          <a:solidFill>
            <a:srgbClr val="FFC000">
              <a:alpha val="95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77681548939994194"/>
          <c:y val="0.21923881652198055"/>
          <c:w val="0.18702212066915436"/>
          <c:h val="0.547345703924414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1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7</xdr:row>
      <xdr:rowOff>3810</xdr:rowOff>
    </xdr:from>
    <xdr:to>
      <xdr:col>9</xdr:col>
      <xdr:colOff>723900</xdr:colOff>
      <xdr:row>26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3"/>
  <sheetViews>
    <sheetView workbookViewId="0">
      <selection activeCell="A103" sqref="A1:XFD1048576"/>
    </sheetView>
  </sheetViews>
  <sheetFormatPr defaultRowHeight="14.4" x14ac:dyDescent="0.3"/>
  <cols>
    <col min="6" max="6" width="12.44140625" customWidth="1"/>
    <col min="11" max="11" width="12.44140625" customWidth="1"/>
    <col min="16" max="16" width="14" customWidth="1"/>
    <col min="21" max="21" width="13" customWidth="1"/>
    <col min="26" max="26" width="14.88671875" customWidth="1"/>
    <col min="31" max="31" width="12.44140625" customWidth="1"/>
    <col min="36" max="36" width="12.109375" customWidth="1"/>
    <col min="41" max="41" width="13.6640625" customWidth="1"/>
  </cols>
  <sheetData>
    <row r="1" spans="1:51" x14ac:dyDescent="0.3">
      <c r="A1" s="1"/>
      <c r="B1" s="1" t="s">
        <v>0</v>
      </c>
      <c r="C1" s="1"/>
      <c r="D1" s="1"/>
      <c r="E1" s="1"/>
      <c r="F1" s="1"/>
      <c r="H1" s="1" t="s">
        <v>108</v>
      </c>
      <c r="I1" s="1"/>
      <c r="J1" s="1"/>
      <c r="K1" s="1"/>
      <c r="L1" s="1" t="s">
        <v>109</v>
      </c>
      <c r="M1" s="1"/>
      <c r="N1" s="1"/>
      <c r="O1" s="1"/>
      <c r="P1" s="1"/>
      <c r="R1" s="1" t="s">
        <v>110</v>
      </c>
      <c r="S1" s="1"/>
      <c r="T1" s="1"/>
      <c r="U1" s="1"/>
      <c r="V1" s="1" t="s">
        <v>114</v>
      </c>
      <c r="W1" s="1"/>
      <c r="X1" s="1"/>
      <c r="Y1" s="1"/>
      <c r="Z1" s="1"/>
      <c r="AB1" s="1" t="s">
        <v>115</v>
      </c>
      <c r="AC1" s="1"/>
      <c r="AD1" s="1"/>
      <c r="AE1" s="1"/>
      <c r="AF1" s="1" t="s">
        <v>116</v>
      </c>
      <c r="AG1" s="1"/>
      <c r="AH1" s="1"/>
      <c r="AI1" s="1"/>
      <c r="AJ1" s="1"/>
      <c r="AL1" s="1" t="s">
        <v>117</v>
      </c>
      <c r="AM1" s="1"/>
      <c r="AN1" s="1"/>
      <c r="AO1" s="1"/>
      <c r="AP1" s="1" t="s">
        <v>118</v>
      </c>
      <c r="AQ1" s="1"/>
      <c r="AR1" s="1"/>
      <c r="AS1" s="1"/>
      <c r="AT1" s="1"/>
      <c r="AV1" s="1" t="s">
        <v>119</v>
      </c>
      <c r="AW1" s="1"/>
      <c r="AX1" s="1"/>
      <c r="AY1" s="1"/>
    </row>
    <row r="2" spans="1:51" ht="69.59999999999999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111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112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113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125</v>
      </c>
      <c r="AA2" s="1" t="s">
        <v>2</v>
      </c>
      <c r="AB2" s="1" t="s">
        <v>3</v>
      </c>
      <c r="AC2" s="1" t="s">
        <v>4</v>
      </c>
      <c r="AD2" s="1" t="s">
        <v>5</v>
      </c>
      <c r="AE2" s="1" t="s">
        <v>124</v>
      </c>
      <c r="AF2" s="1" t="s">
        <v>2</v>
      </c>
      <c r="AG2" s="1" t="s">
        <v>3</v>
      </c>
      <c r="AH2" s="1" t="s">
        <v>4</v>
      </c>
      <c r="AI2" s="1" t="s">
        <v>5</v>
      </c>
      <c r="AJ2" s="1" t="s">
        <v>123</v>
      </c>
      <c r="AK2" s="1" t="s">
        <v>2</v>
      </c>
      <c r="AL2" s="1" t="s">
        <v>3</v>
      </c>
      <c r="AM2" s="1" t="s">
        <v>4</v>
      </c>
      <c r="AN2" s="1" t="s">
        <v>5</v>
      </c>
      <c r="AO2" s="1" t="s">
        <v>122</v>
      </c>
      <c r="AP2" s="1" t="s">
        <v>2</v>
      </c>
      <c r="AQ2" s="1" t="s">
        <v>3</v>
      </c>
      <c r="AR2" s="1" t="s">
        <v>4</v>
      </c>
      <c r="AS2" s="1" t="s">
        <v>5</v>
      </c>
      <c r="AT2" s="1" t="s">
        <v>121</v>
      </c>
      <c r="AU2" s="1" t="s">
        <v>2</v>
      </c>
      <c r="AV2" s="1" t="s">
        <v>3</v>
      </c>
      <c r="AW2" s="1" t="s">
        <v>4</v>
      </c>
      <c r="AX2" s="1" t="s">
        <v>5</v>
      </c>
      <c r="AY2" s="1" t="s">
        <v>120</v>
      </c>
    </row>
    <row r="3" spans="1:51" x14ac:dyDescent="0.3">
      <c r="A3" s="2" t="s">
        <v>7</v>
      </c>
      <c r="B3" s="2">
        <v>880</v>
      </c>
      <c r="C3" s="2">
        <v>880</v>
      </c>
      <c r="D3" s="2">
        <f>SUM(B3:C3)</f>
        <v>1760</v>
      </c>
      <c r="E3" s="2">
        <f>(D3*8)</f>
        <v>14080</v>
      </c>
      <c r="F3" s="2">
        <f>(E3/3600)</f>
        <v>3.911111111111111</v>
      </c>
      <c r="G3">
        <v>1120</v>
      </c>
      <c r="H3">
        <v>1120</v>
      </c>
      <c r="I3" s="2">
        <f>SUM(G3:H3)</f>
        <v>2240</v>
      </c>
      <c r="J3" s="2">
        <f>(I3*8)</f>
        <v>17920</v>
      </c>
      <c r="K3" s="2">
        <f>(J3/3600)</f>
        <v>4.9777777777777779</v>
      </c>
      <c r="L3">
        <v>1200</v>
      </c>
      <c r="M3">
        <v>1200</v>
      </c>
      <c r="N3" s="2">
        <f>SUM(L3:M3)</f>
        <v>2400</v>
      </c>
      <c r="O3" s="2">
        <f>(N3*8)</f>
        <v>19200</v>
      </c>
      <c r="P3" s="2">
        <f>(O3/3600)</f>
        <v>5.333333333333333</v>
      </c>
      <c r="Q3">
        <v>1040</v>
      </c>
      <c r="R3">
        <v>1040</v>
      </c>
      <c r="S3" s="2">
        <f>SUM(Q3:R3)</f>
        <v>2080</v>
      </c>
      <c r="T3" s="2">
        <f>(S3*8)</f>
        <v>16640</v>
      </c>
      <c r="U3" s="2">
        <f>(T3/3600)</f>
        <v>4.6222222222222218</v>
      </c>
      <c r="V3">
        <v>1040</v>
      </c>
      <c r="W3">
        <v>1040</v>
      </c>
      <c r="X3" s="2">
        <f>SUM(V3:W3)</f>
        <v>2080</v>
      </c>
      <c r="Y3" s="2">
        <f>(X3*8)</f>
        <v>16640</v>
      </c>
      <c r="Z3" s="2">
        <f>(Y3/3600)</f>
        <v>4.6222222222222218</v>
      </c>
      <c r="AA3">
        <v>960</v>
      </c>
      <c r="AB3">
        <v>960</v>
      </c>
      <c r="AC3" s="2">
        <f>SUM(AA3:AB3)</f>
        <v>1920</v>
      </c>
      <c r="AD3" s="2">
        <f>(AC3*8)</f>
        <v>15360</v>
      </c>
      <c r="AE3" s="2">
        <f>(AD3/3600)</f>
        <v>4.2666666666666666</v>
      </c>
      <c r="AF3">
        <v>960</v>
      </c>
      <c r="AG3">
        <v>960</v>
      </c>
      <c r="AH3" s="2">
        <f>SUM(AF3:AG3)</f>
        <v>1920</v>
      </c>
      <c r="AI3" s="2">
        <f>(AH3*8)</f>
        <v>15360</v>
      </c>
      <c r="AJ3" s="2">
        <f>(AI3/3600)</f>
        <v>4.2666666666666666</v>
      </c>
      <c r="AK3">
        <v>960</v>
      </c>
      <c r="AL3">
        <v>960</v>
      </c>
      <c r="AM3" s="2">
        <f>SUM(AK3:AL3)</f>
        <v>1920</v>
      </c>
      <c r="AN3" s="2">
        <f>(AM3*8)</f>
        <v>15360</v>
      </c>
      <c r="AO3" s="2">
        <f>(AN3/3600)</f>
        <v>4.2666666666666666</v>
      </c>
      <c r="AP3">
        <v>880</v>
      </c>
      <c r="AQ3">
        <v>880</v>
      </c>
      <c r="AR3" s="2">
        <f>SUM(AP3:AQ3)</f>
        <v>1760</v>
      </c>
      <c r="AS3" s="2">
        <f>(AR3*8)</f>
        <v>14080</v>
      </c>
      <c r="AT3" s="2">
        <f>(AS3/3600)</f>
        <v>3.911111111111111</v>
      </c>
      <c r="AU3">
        <v>1040</v>
      </c>
      <c r="AV3">
        <v>1040</v>
      </c>
      <c r="AW3" s="2">
        <f>SUM(AU3:AV3)</f>
        <v>2080</v>
      </c>
      <c r="AX3" s="2">
        <f>(AW3*8)</f>
        <v>16640</v>
      </c>
      <c r="AY3" s="2">
        <f>(AX3/3600)</f>
        <v>4.6222222222222218</v>
      </c>
    </row>
    <row r="4" spans="1:51" x14ac:dyDescent="0.3">
      <c r="A4" s="2" t="s">
        <v>8</v>
      </c>
      <c r="B4" s="2">
        <v>1040</v>
      </c>
      <c r="C4" s="2">
        <v>1040</v>
      </c>
      <c r="D4" s="2">
        <f t="shared" ref="D4:D67" si="0">SUM(B4:C4)</f>
        <v>2080</v>
      </c>
      <c r="E4" s="2">
        <f t="shared" ref="E4:E67" si="1">(D4*8)</f>
        <v>16640</v>
      </c>
      <c r="F4" s="2">
        <f t="shared" ref="F4:F67" si="2">(E4/3600)</f>
        <v>4.6222222222222218</v>
      </c>
      <c r="G4">
        <v>1200</v>
      </c>
      <c r="H4">
        <v>1200</v>
      </c>
      <c r="I4" s="2">
        <f t="shared" ref="I4:I67" si="3">SUM(G4:H4)</f>
        <v>2400</v>
      </c>
      <c r="J4" s="2">
        <f t="shared" ref="J4:J67" si="4">(I4*8)</f>
        <v>19200</v>
      </c>
      <c r="K4" s="2">
        <f t="shared" ref="K4:K67" si="5">(J4/3600)</f>
        <v>5.333333333333333</v>
      </c>
      <c r="L4">
        <v>1120</v>
      </c>
      <c r="M4">
        <v>1120</v>
      </c>
      <c r="N4" s="2">
        <f t="shared" ref="N4:N67" si="6">SUM(L4:M4)</f>
        <v>2240</v>
      </c>
      <c r="O4" s="2">
        <f t="shared" ref="O4:O67" si="7">(N4*8)</f>
        <v>17920</v>
      </c>
      <c r="P4" s="2">
        <f t="shared" ref="P4:P67" si="8">(O4/3600)</f>
        <v>4.9777777777777779</v>
      </c>
      <c r="Q4">
        <v>960</v>
      </c>
      <c r="R4">
        <v>960</v>
      </c>
      <c r="S4" s="2">
        <f t="shared" ref="S4:S67" si="9">SUM(Q4:R4)</f>
        <v>1920</v>
      </c>
      <c r="T4" s="2">
        <f t="shared" ref="T4:T67" si="10">(S4*8)</f>
        <v>15360</v>
      </c>
      <c r="U4" s="2">
        <f t="shared" ref="U4:U67" si="11">(T4/3600)</f>
        <v>4.2666666666666666</v>
      </c>
      <c r="V4">
        <v>960</v>
      </c>
      <c r="W4">
        <v>960</v>
      </c>
      <c r="X4" s="2">
        <f t="shared" ref="X4:X67" si="12">SUM(V4:W4)</f>
        <v>1920</v>
      </c>
      <c r="Y4" s="2">
        <f t="shared" ref="Y4:Y67" si="13">(X4*8)</f>
        <v>15360</v>
      </c>
      <c r="Z4" s="2">
        <f t="shared" ref="Z4:Z67" si="14">(Y4/3600)</f>
        <v>4.2666666666666666</v>
      </c>
      <c r="AA4">
        <v>1200</v>
      </c>
      <c r="AB4">
        <v>1200</v>
      </c>
      <c r="AC4" s="2">
        <f t="shared" ref="AC4:AC67" si="15">SUM(AA4:AB4)</f>
        <v>2400</v>
      </c>
      <c r="AD4" s="2">
        <f t="shared" ref="AD4:AD67" si="16">(AC4*8)</f>
        <v>19200</v>
      </c>
      <c r="AE4" s="2">
        <f t="shared" ref="AE4:AE67" si="17">(AD4/3600)</f>
        <v>5.333333333333333</v>
      </c>
      <c r="AF4">
        <v>1040</v>
      </c>
      <c r="AG4">
        <v>1040</v>
      </c>
      <c r="AH4" s="2">
        <f t="shared" ref="AH4:AH67" si="18">SUM(AF4:AG4)</f>
        <v>2080</v>
      </c>
      <c r="AI4" s="2">
        <f t="shared" ref="AI4:AI67" si="19">(AH4*8)</f>
        <v>16640</v>
      </c>
      <c r="AJ4" s="2">
        <f t="shared" ref="AJ4:AJ67" si="20">(AI4/3600)</f>
        <v>4.6222222222222218</v>
      </c>
      <c r="AK4">
        <v>1120</v>
      </c>
      <c r="AL4">
        <v>1120</v>
      </c>
      <c r="AM4" s="2">
        <f t="shared" ref="AM4:AM67" si="21">SUM(AK4:AL4)</f>
        <v>2240</v>
      </c>
      <c r="AN4" s="2">
        <f t="shared" ref="AN4:AN67" si="22">(AM4*8)</f>
        <v>17920</v>
      </c>
      <c r="AO4" s="2">
        <f t="shared" ref="AO4:AO67" si="23">(AN4/3600)</f>
        <v>4.9777777777777779</v>
      </c>
      <c r="AP4">
        <v>880</v>
      </c>
      <c r="AQ4">
        <v>880</v>
      </c>
      <c r="AR4" s="2">
        <f t="shared" ref="AR4:AR67" si="24">SUM(AP4:AQ4)</f>
        <v>1760</v>
      </c>
      <c r="AS4" s="2">
        <f t="shared" ref="AS4:AS67" si="25">(AR4*8)</f>
        <v>14080</v>
      </c>
      <c r="AT4" s="2">
        <f t="shared" ref="AT4:AT67" si="26">(AS4/3600)</f>
        <v>3.911111111111111</v>
      </c>
      <c r="AU4">
        <v>1120</v>
      </c>
      <c r="AV4">
        <v>1120</v>
      </c>
      <c r="AW4" s="2">
        <f t="shared" ref="AW4:AW67" si="27">SUM(AU4:AV4)</f>
        <v>2240</v>
      </c>
      <c r="AX4" s="2">
        <f t="shared" ref="AX4:AX67" si="28">(AW4*8)</f>
        <v>17920</v>
      </c>
      <c r="AY4" s="2">
        <f t="shared" ref="AY4:AY67" si="29">(AX4/3600)</f>
        <v>4.9777777777777779</v>
      </c>
    </row>
    <row r="5" spans="1:51" x14ac:dyDescent="0.3">
      <c r="A5" s="2" t="s">
        <v>9</v>
      </c>
      <c r="B5" s="2">
        <v>1040</v>
      </c>
      <c r="C5" s="2">
        <v>1040</v>
      </c>
      <c r="D5" s="2">
        <f t="shared" si="0"/>
        <v>2080</v>
      </c>
      <c r="E5" s="2">
        <f t="shared" si="1"/>
        <v>16640</v>
      </c>
      <c r="F5" s="2">
        <f t="shared" si="2"/>
        <v>4.6222222222222218</v>
      </c>
      <c r="G5">
        <v>1120</v>
      </c>
      <c r="H5">
        <v>1120</v>
      </c>
      <c r="I5" s="2">
        <f t="shared" si="3"/>
        <v>2240</v>
      </c>
      <c r="J5" s="2">
        <f t="shared" si="4"/>
        <v>17920</v>
      </c>
      <c r="K5" s="2">
        <f t="shared" si="5"/>
        <v>4.9777777777777779</v>
      </c>
      <c r="L5">
        <v>1200</v>
      </c>
      <c r="M5">
        <v>1200</v>
      </c>
      <c r="N5" s="2">
        <f t="shared" si="6"/>
        <v>2400</v>
      </c>
      <c r="O5" s="2">
        <f t="shared" si="7"/>
        <v>19200</v>
      </c>
      <c r="P5" s="2">
        <f t="shared" si="8"/>
        <v>5.333333333333333</v>
      </c>
      <c r="Q5">
        <v>1280</v>
      </c>
      <c r="R5">
        <v>1280</v>
      </c>
      <c r="S5" s="2">
        <f t="shared" si="9"/>
        <v>2560</v>
      </c>
      <c r="T5" s="2">
        <f t="shared" si="10"/>
        <v>20480</v>
      </c>
      <c r="U5" s="2">
        <f t="shared" si="11"/>
        <v>5.6888888888888891</v>
      </c>
      <c r="V5">
        <v>1280</v>
      </c>
      <c r="W5">
        <v>1280</v>
      </c>
      <c r="X5" s="2">
        <f t="shared" si="12"/>
        <v>2560</v>
      </c>
      <c r="Y5" s="2">
        <f t="shared" si="13"/>
        <v>20480</v>
      </c>
      <c r="Z5" s="2">
        <f t="shared" si="14"/>
        <v>5.6888888888888891</v>
      </c>
      <c r="AA5">
        <v>1200</v>
      </c>
      <c r="AB5">
        <v>1200</v>
      </c>
      <c r="AC5" s="2">
        <f t="shared" si="15"/>
        <v>2400</v>
      </c>
      <c r="AD5" s="2">
        <f t="shared" si="16"/>
        <v>19200</v>
      </c>
      <c r="AE5" s="2">
        <f t="shared" si="17"/>
        <v>5.333333333333333</v>
      </c>
      <c r="AF5">
        <v>1040</v>
      </c>
      <c r="AG5">
        <v>1040</v>
      </c>
      <c r="AH5" s="2">
        <f t="shared" si="18"/>
        <v>2080</v>
      </c>
      <c r="AI5" s="2">
        <f t="shared" si="19"/>
        <v>16640</v>
      </c>
      <c r="AJ5" s="2">
        <f t="shared" si="20"/>
        <v>4.6222222222222218</v>
      </c>
      <c r="AK5">
        <v>1040</v>
      </c>
      <c r="AL5">
        <v>1040</v>
      </c>
      <c r="AM5" s="2">
        <f t="shared" si="21"/>
        <v>2080</v>
      </c>
      <c r="AN5" s="2">
        <f t="shared" si="22"/>
        <v>16640</v>
      </c>
      <c r="AO5" s="2">
        <f t="shared" si="23"/>
        <v>4.6222222222222218</v>
      </c>
      <c r="AP5">
        <v>1120</v>
      </c>
      <c r="AQ5">
        <v>1120</v>
      </c>
      <c r="AR5" s="2">
        <f t="shared" si="24"/>
        <v>2240</v>
      </c>
      <c r="AS5" s="2">
        <f t="shared" si="25"/>
        <v>17920</v>
      </c>
      <c r="AT5" s="2">
        <f t="shared" si="26"/>
        <v>4.9777777777777779</v>
      </c>
      <c r="AU5">
        <v>1120</v>
      </c>
      <c r="AV5">
        <v>1120</v>
      </c>
      <c r="AW5" s="2">
        <f t="shared" si="27"/>
        <v>2240</v>
      </c>
      <c r="AX5" s="2">
        <f t="shared" si="28"/>
        <v>17920</v>
      </c>
      <c r="AY5" s="2">
        <f t="shared" si="29"/>
        <v>4.9777777777777779</v>
      </c>
    </row>
    <row r="6" spans="1:51" x14ac:dyDescent="0.3">
      <c r="A6" s="2" t="s">
        <v>10</v>
      </c>
      <c r="B6" s="2">
        <v>960</v>
      </c>
      <c r="C6" s="2">
        <v>960</v>
      </c>
      <c r="D6" s="2">
        <f t="shared" si="0"/>
        <v>1920</v>
      </c>
      <c r="E6" s="2">
        <f t="shared" si="1"/>
        <v>15360</v>
      </c>
      <c r="F6" s="2">
        <f t="shared" si="2"/>
        <v>4.2666666666666666</v>
      </c>
      <c r="G6">
        <v>1040</v>
      </c>
      <c r="H6">
        <v>1040</v>
      </c>
      <c r="I6" s="2">
        <f t="shared" si="3"/>
        <v>2080</v>
      </c>
      <c r="J6" s="2">
        <f t="shared" si="4"/>
        <v>16640</v>
      </c>
      <c r="K6" s="2">
        <f t="shared" si="5"/>
        <v>4.6222222222222218</v>
      </c>
      <c r="L6">
        <v>1120</v>
      </c>
      <c r="M6">
        <v>1120</v>
      </c>
      <c r="N6" s="2">
        <f t="shared" si="6"/>
        <v>2240</v>
      </c>
      <c r="O6" s="2">
        <f t="shared" si="7"/>
        <v>17920</v>
      </c>
      <c r="P6" s="2">
        <f t="shared" si="8"/>
        <v>4.9777777777777779</v>
      </c>
      <c r="Q6">
        <v>960</v>
      </c>
      <c r="R6">
        <v>960</v>
      </c>
      <c r="S6" s="2">
        <f t="shared" si="9"/>
        <v>1920</v>
      </c>
      <c r="T6" s="2">
        <f t="shared" si="10"/>
        <v>15360</v>
      </c>
      <c r="U6" s="2">
        <f t="shared" si="11"/>
        <v>4.2666666666666666</v>
      </c>
      <c r="V6">
        <v>960</v>
      </c>
      <c r="W6">
        <v>960</v>
      </c>
      <c r="X6" s="2">
        <f t="shared" si="12"/>
        <v>1920</v>
      </c>
      <c r="Y6" s="2">
        <f t="shared" si="13"/>
        <v>15360</v>
      </c>
      <c r="Z6" s="2">
        <f t="shared" si="14"/>
        <v>4.2666666666666666</v>
      </c>
      <c r="AA6">
        <v>1120</v>
      </c>
      <c r="AB6">
        <v>1120</v>
      </c>
      <c r="AC6" s="2">
        <f t="shared" si="15"/>
        <v>2240</v>
      </c>
      <c r="AD6" s="2">
        <f t="shared" si="16"/>
        <v>17920</v>
      </c>
      <c r="AE6" s="2">
        <f t="shared" si="17"/>
        <v>4.9777777777777779</v>
      </c>
      <c r="AF6">
        <v>1120</v>
      </c>
      <c r="AG6">
        <v>1120</v>
      </c>
      <c r="AH6" s="2">
        <f t="shared" si="18"/>
        <v>2240</v>
      </c>
      <c r="AI6" s="2">
        <f t="shared" si="19"/>
        <v>17920</v>
      </c>
      <c r="AJ6" s="2">
        <f t="shared" si="20"/>
        <v>4.9777777777777779</v>
      </c>
      <c r="AK6">
        <v>1120</v>
      </c>
      <c r="AL6">
        <v>1120</v>
      </c>
      <c r="AM6" s="2">
        <f t="shared" si="21"/>
        <v>2240</v>
      </c>
      <c r="AN6" s="2">
        <f t="shared" si="22"/>
        <v>17920</v>
      </c>
      <c r="AO6" s="2">
        <f t="shared" si="23"/>
        <v>4.9777777777777779</v>
      </c>
      <c r="AP6">
        <v>880</v>
      </c>
      <c r="AQ6">
        <v>880</v>
      </c>
      <c r="AR6" s="2">
        <f t="shared" si="24"/>
        <v>1760</v>
      </c>
      <c r="AS6" s="2">
        <f t="shared" si="25"/>
        <v>14080</v>
      </c>
      <c r="AT6" s="2">
        <f t="shared" si="26"/>
        <v>3.911111111111111</v>
      </c>
      <c r="AU6">
        <v>1120</v>
      </c>
      <c r="AV6">
        <v>1120</v>
      </c>
      <c r="AW6" s="2">
        <f t="shared" si="27"/>
        <v>2240</v>
      </c>
      <c r="AX6" s="2">
        <f t="shared" si="28"/>
        <v>17920</v>
      </c>
      <c r="AY6" s="2">
        <f t="shared" si="29"/>
        <v>4.9777777777777779</v>
      </c>
    </row>
    <row r="7" spans="1:51" x14ac:dyDescent="0.3">
      <c r="A7" s="2" t="s">
        <v>11</v>
      </c>
      <c r="B7" s="2">
        <v>1040</v>
      </c>
      <c r="C7" s="2">
        <v>1040</v>
      </c>
      <c r="D7" s="2">
        <f t="shared" si="0"/>
        <v>2080</v>
      </c>
      <c r="E7" s="2">
        <f t="shared" si="1"/>
        <v>16640</v>
      </c>
      <c r="F7" s="2">
        <f t="shared" si="2"/>
        <v>4.6222222222222218</v>
      </c>
      <c r="G7">
        <v>1200</v>
      </c>
      <c r="H7">
        <v>1200</v>
      </c>
      <c r="I7" s="2">
        <f t="shared" si="3"/>
        <v>2400</v>
      </c>
      <c r="J7" s="2">
        <f t="shared" si="4"/>
        <v>19200</v>
      </c>
      <c r="K7" s="2">
        <f t="shared" si="5"/>
        <v>5.333333333333333</v>
      </c>
      <c r="L7">
        <v>880</v>
      </c>
      <c r="M7">
        <v>880</v>
      </c>
      <c r="N7" s="2">
        <f t="shared" si="6"/>
        <v>1760</v>
      </c>
      <c r="O7" s="2">
        <f t="shared" si="7"/>
        <v>14080</v>
      </c>
      <c r="P7" s="2">
        <f t="shared" si="8"/>
        <v>3.911111111111111</v>
      </c>
      <c r="Q7">
        <v>880</v>
      </c>
      <c r="R7">
        <v>880</v>
      </c>
      <c r="S7" s="2">
        <f t="shared" si="9"/>
        <v>1760</v>
      </c>
      <c r="T7" s="2">
        <f t="shared" si="10"/>
        <v>14080</v>
      </c>
      <c r="U7" s="2">
        <f t="shared" si="11"/>
        <v>3.911111111111111</v>
      </c>
      <c r="V7">
        <v>880</v>
      </c>
      <c r="W7">
        <v>880</v>
      </c>
      <c r="X7" s="2">
        <f t="shared" si="12"/>
        <v>1760</v>
      </c>
      <c r="Y7" s="2">
        <f t="shared" si="13"/>
        <v>14080</v>
      </c>
      <c r="Z7" s="2">
        <f t="shared" si="14"/>
        <v>3.911111111111111</v>
      </c>
      <c r="AA7">
        <v>1040</v>
      </c>
      <c r="AB7">
        <v>1040</v>
      </c>
      <c r="AC7" s="2">
        <f t="shared" si="15"/>
        <v>2080</v>
      </c>
      <c r="AD7" s="2">
        <f t="shared" si="16"/>
        <v>16640</v>
      </c>
      <c r="AE7" s="2">
        <f t="shared" si="17"/>
        <v>4.6222222222222218</v>
      </c>
      <c r="AF7">
        <v>1040</v>
      </c>
      <c r="AG7">
        <v>1040</v>
      </c>
      <c r="AH7" s="2">
        <f t="shared" si="18"/>
        <v>2080</v>
      </c>
      <c r="AI7" s="2">
        <f t="shared" si="19"/>
        <v>16640</v>
      </c>
      <c r="AJ7" s="2">
        <f t="shared" si="20"/>
        <v>4.6222222222222218</v>
      </c>
      <c r="AK7">
        <v>1200</v>
      </c>
      <c r="AL7">
        <v>1200</v>
      </c>
      <c r="AM7" s="2">
        <f t="shared" si="21"/>
        <v>2400</v>
      </c>
      <c r="AN7" s="2">
        <f t="shared" si="22"/>
        <v>19200</v>
      </c>
      <c r="AO7" s="2">
        <f t="shared" si="23"/>
        <v>5.333333333333333</v>
      </c>
      <c r="AP7">
        <v>1040</v>
      </c>
      <c r="AQ7">
        <v>1040</v>
      </c>
      <c r="AR7" s="2">
        <f t="shared" si="24"/>
        <v>2080</v>
      </c>
      <c r="AS7" s="2">
        <f t="shared" si="25"/>
        <v>16640</v>
      </c>
      <c r="AT7" s="2">
        <f t="shared" si="26"/>
        <v>4.6222222222222218</v>
      </c>
      <c r="AU7">
        <v>1040</v>
      </c>
      <c r="AV7">
        <v>1040</v>
      </c>
      <c r="AW7" s="2">
        <f t="shared" si="27"/>
        <v>2080</v>
      </c>
      <c r="AX7" s="2">
        <f t="shared" si="28"/>
        <v>16640</v>
      </c>
      <c r="AY7" s="2">
        <f t="shared" si="29"/>
        <v>4.6222222222222218</v>
      </c>
    </row>
    <row r="8" spans="1:51" x14ac:dyDescent="0.3">
      <c r="A8" s="2" t="s">
        <v>12</v>
      </c>
      <c r="B8" s="2">
        <v>1120</v>
      </c>
      <c r="C8" s="2">
        <v>1120</v>
      </c>
      <c r="D8" s="2">
        <f t="shared" si="0"/>
        <v>2240</v>
      </c>
      <c r="E8" s="2">
        <f t="shared" si="1"/>
        <v>17920</v>
      </c>
      <c r="F8" s="2">
        <f t="shared" si="2"/>
        <v>4.9777777777777779</v>
      </c>
      <c r="G8">
        <v>1120</v>
      </c>
      <c r="H8">
        <v>1120</v>
      </c>
      <c r="I8" s="2">
        <f t="shared" si="3"/>
        <v>2240</v>
      </c>
      <c r="J8" s="2">
        <f t="shared" si="4"/>
        <v>17920</v>
      </c>
      <c r="K8" s="2">
        <f t="shared" si="5"/>
        <v>4.9777777777777779</v>
      </c>
      <c r="L8">
        <v>1040</v>
      </c>
      <c r="M8">
        <v>1040</v>
      </c>
      <c r="N8" s="2">
        <f t="shared" si="6"/>
        <v>2080</v>
      </c>
      <c r="O8" s="2">
        <f t="shared" si="7"/>
        <v>16640</v>
      </c>
      <c r="P8" s="2">
        <f t="shared" si="8"/>
        <v>4.6222222222222218</v>
      </c>
      <c r="Q8">
        <v>1200</v>
      </c>
      <c r="R8">
        <v>1200</v>
      </c>
      <c r="S8" s="2">
        <f t="shared" si="9"/>
        <v>2400</v>
      </c>
      <c r="T8" s="2">
        <f t="shared" si="10"/>
        <v>19200</v>
      </c>
      <c r="U8" s="2">
        <f t="shared" si="11"/>
        <v>5.333333333333333</v>
      </c>
      <c r="V8">
        <v>1200</v>
      </c>
      <c r="W8">
        <v>1200</v>
      </c>
      <c r="X8" s="2">
        <f t="shared" si="12"/>
        <v>2400</v>
      </c>
      <c r="Y8" s="2">
        <f t="shared" si="13"/>
        <v>19200</v>
      </c>
      <c r="Z8" s="2">
        <f t="shared" si="14"/>
        <v>5.333333333333333</v>
      </c>
      <c r="AA8">
        <v>1040</v>
      </c>
      <c r="AB8">
        <v>1040</v>
      </c>
      <c r="AC8" s="2">
        <f t="shared" si="15"/>
        <v>2080</v>
      </c>
      <c r="AD8" s="2">
        <f t="shared" si="16"/>
        <v>16640</v>
      </c>
      <c r="AE8" s="2">
        <f t="shared" si="17"/>
        <v>4.6222222222222218</v>
      </c>
      <c r="AF8">
        <v>1280</v>
      </c>
      <c r="AG8">
        <v>1280</v>
      </c>
      <c r="AH8" s="2">
        <f t="shared" si="18"/>
        <v>2560</v>
      </c>
      <c r="AI8" s="2">
        <f t="shared" si="19"/>
        <v>20480</v>
      </c>
      <c r="AJ8" s="2">
        <f t="shared" si="20"/>
        <v>5.6888888888888891</v>
      </c>
      <c r="AK8">
        <v>1120</v>
      </c>
      <c r="AL8">
        <v>1120</v>
      </c>
      <c r="AM8" s="2">
        <f t="shared" si="21"/>
        <v>2240</v>
      </c>
      <c r="AN8" s="2">
        <f t="shared" si="22"/>
        <v>17920</v>
      </c>
      <c r="AO8" s="2">
        <f t="shared" si="23"/>
        <v>4.9777777777777779</v>
      </c>
      <c r="AP8">
        <v>1280</v>
      </c>
      <c r="AQ8">
        <v>1280</v>
      </c>
      <c r="AR8" s="2">
        <f t="shared" si="24"/>
        <v>2560</v>
      </c>
      <c r="AS8" s="2">
        <f t="shared" si="25"/>
        <v>20480</v>
      </c>
      <c r="AT8" s="2">
        <f t="shared" si="26"/>
        <v>5.6888888888888891</v>
      </c>
      <c r="AU8">
        <v>1120</v>
      </c>
      <c r="AV8">
        <v>1120</v>
      </c>
      <c r="AW8" s="2">
        <f t="shared" si="27"/>
        <v>2240</v>
      </c>
      <c r="AX8" s="2">
        <f t="shared" si="28"/>
        <v>17920</v>
      </c>
      <c r="AY8" s="2">
        <f t="shared" si="29"/>
        <v>4.9777777777777779</v>
      </c>
    </row>
    <row r="9" spans="1:51" x14ac:dyDescent="0.3">
      <c r="A9" s="2" t="s">
        <v>13</v>
      </c>
      <c r="B9" s="2">
        <v>960</v>
      </c>
      <c r="C9" s="2">
        <v>960</v>
      </c>
      <c r="D9" s="2">
        <f t="shared" si="0"/>
        <v>1920</v>
      </c>
      <c r="E9" s="2">
        <f t="shared" si="1"/>
        <v>15360</v>
      </c>
      <c r="F9" s="2">
        <f t="shared" si="2"/>
        <v>4.2666666666666666</v>
      </c>
      <c r="G9">
        <v>960</v>
      </c>
      <c r="H9">
        <v>960</v>
      </c>
      <c r="I9" s="2">
        <f t="shared" si="3"/>
        <v>1920</v>
      </c>
      <c r="J9" s="2">
        <f t="shared" si="4"/>
        <v>15360</v>
      </c>
      <c r="K9" s="2">
        <f t="shared" si="5"/>
        <v>4.2666666666666666</v>
      </c>
      <c r="L9">
        <v>960</v>
      </c>
      <c r="M9">
        <v>960</v>
      </c>
      <c r="N9" s="2">
        <f t="shared" si="6"/>
        <v>1920</v>
      </c>
      <c r="O9" s="2">
        <f t="shared" si="7"/>
        <v>15360</v>
      </c>
      <c r="P9" s="2">
        <f t="shared" si="8"/>
        <v>4.2666666666666666</v>
      </c>
      <c r="Q9">
        <v>1040</v>
      </c>
      <c r="R9">
        <v>1040</v>
      </c>
      <c r="S9" s="2">
        <f t="shared" si="9"/>
        <v>2080</v>
      </c>
      <c r="T9" s="2">
        <f t="shared" si="10"/>
        <v>16640</v>
      </c>
      <c r="U9" s="2">
        <f t="shared" si="11"/>
        <v>4.6222222222222218</v>
      </c>
      <c r="V9">
        <v>1040</v>
      </c>
      <c r="W9">
        <v>1040</v>
      </c>
      <c r="X9" s="2">
        <f t="shared" si="12"/>
        <v>2080</v>
      </c>
      <c r="Y9" s="2">
        <f t="shared" si="13"/>
        <v>16640</v>
      </c>
      <c r="Z9" s="2">
        <f t="shared" si="14"/>
        <v>4.6222222222222218</v>
      </c>
      <c r="AA9">
        <v>880</v>
      </c>
      <c r="AB9">
        <v>880</v>
      </c>
      <c r="AC9" s="2">
        <f t="shared" si="15"/>
        <v>1760</v>
      </c>
      <c r="AD9" s="2">
        <f t="shared" si="16"/>
        <v>14080</v>
      </c>
      <c r="AE9" s="2">
        <f t="shared" si="17"/>
        <v>3.911111111111111</v>
      </c>
      <c r="AF9">
        <v>880</v>
      </c>
      <c r="AG9">
        <v>880</v>
      </c>
      <c r="AH9" s="2">
        <f t="shared" si="18"/>
        <v>1760</v>
      </c>
      <c r="AI9" s="2">
        <f t="shared" si="19"/>
        <v>14080</v>
      </c>
      <c r="AJ9" s="2">
        <f t="shared" si="20"/>
        <v>3.911111111111111</v>
      </c>
      <c r="AK9">
        <v>960</v>
      </c>
      <c r="AL9">
        <v>960</v>
      </c>
      <c r="AM9" s="2">
        <f t="shared" si="21"/>
        <v>1920</v>
      </c>
      <c r="AN9" s="2">
        <f t="shared" si="22"/>
        <v>15360</v>
      </c>
      <c r="AO9" s="2">
        <f t="shared" si="23"/>
        <v>4.2666666666666666</v>
      </c>
      <c r="AP9">
        <v>960</v>
      </c>
      <c r="AQ9">
        <v>960</v>
      </c>
      <c r="AR9" s="2">
        <f t="shared" si="24"/>
        <v>1920</v>
      </c>
      <c r="AS9" s="2">
        <f t="shared" si="25"/>
        <v>15360</v>
      </c>
      <c r="AT9" s="2">
        <f t="shared" si="26"/>
        <v>4.2666666666666666</v>
      </c>
      <c r="AU9">
        <v>1040</v>
      </c>
      <c r="AV9">
        <v>1040</v>
      </c>
      <c r="AW9" s="2">
        <f t="shared" si="27"/>
        <v>2080</v>
      </c>
      <c r="AX9" s="2">
        <f t="shared" si="28"/>
        <v>16640</v>
      </c>
      <c r="AY9" s="2">
        <f t="shared" si="29"/>
        <v>4.6222222222222218</v>
      </c>
    </row>
    <row r="10" spans="1:51" x14ac:dyDescent="0.3">
      <c r="A10" s="2" t="s">
        <v>14</v>
      </c>
      <c r="B10" s="2">
        <v>1040</v>
      </c>
      <c r="C10" s="2">
        <v>1040</v>
      </c>
      <c r="D10" s="2">
        <f t="shared" si="0"/>
        <v>2080</v>
      </c>
      <c r="E10" s="2">
        <f t="shared" si="1"/>
        <v>16640</v>
      </c>
      <c r="F10" s="2">
        <f t="shared" si="2"/>
        <v>4.6222222222222218</v>
      </c>
      <c r="G10">
        <v>1040</v>
      </c>
      <c r="H10">
        <v>1040</v>
      </c>
      <c r="I10" s="2">
        <f t="shared" si="3"/>
        <v>2080</v>
      </c>
      <c r="J10" s="2">
        <f t="shared" si="4"/>
        <v>16640</v>
      </c>
      <c r="K10" s="2">
        <f t="shared" si="5"/>
        <v>4.6222222222222218</v>
      </c>
      <c r="L10">
        <v>1200</v>
      </c>
      <c r="M10">
        <v>1200</v>
      </c>
      <c r="N10" s="2">
        <f t="shared" si="6"/>
        <v>2400</v>
      </c>
      <c r="O10" s="2">
        <f t="shared" si="7"/>
        <v>19200</v>
      </c>
      <c r="P10" s="2">
        <f t="shared" si="8"/>
        <v>5.333333333333333</v>
      </c>
      <c r="Q10">
        <v>960</v>
      </c>
      <c r="R10">
        <v>960</v>
      </c>
      <c r="S10" s="2">
        <f t="shared" si="9"/>
        <v>1920</v>
      </c>
      <c r="T10" s="2">
        <f t="shared" si="10"/>
        <v>15360</v>
      </c>
      <c r="U10" s="2">
        <f t="shared" si="11"/>
        <v>4.2666666666666666</v>
      </c>
      <c r="V10">
        <v>960</v>
      </c>
      <c r="W10">
        <v>960</v>
      </c>
      <c r="X10" s="2">
        <f t="shared" si="12"/>
        <v>1920</v>
      </c>
      <c r="Y10" s="2">
        <f t="shared" si="13"/>
        <v>15360</v>
      </c>
      <c r="Z10" s="2">
        <f t="shared" si="14"/>
        <v>4.2666666666666666</v>
      </c>
      <c r="AA10">
        <v>960</v>
      </c>
      <c r="AB10">
        <v>960</v>
      </c>
      <c r="AC10" s="2">
        <f t="shared" si="15"/>
        <v>1920</v>
      </c>
      <c r="AD10" s="2">
        <f t="shared" si="16"/>
        <v>15360</v>
      </c>
      <c r="AE10" s="2">
        <f t="shared" si="17"/>
        <v>4.2666666666666666</v>
      </c>
      <c r="AF10">
        <v>960</v>
      </c>
      <c r="AG10">
        <v>960</v>
      </c>
      <c r="AH10" s="2">
        <f t="shared" si="18"/>
        <v>1920</v>
      </c>
      <c r="AI10" s="2">
        <f t="shared" si="19"/>
        <v>15360</v>
      </c>
      <c r="AJ10" s="2">
        <f t="shared" si="20"/>
        <v>4.2666666666666666</v>
      </c>
      <c r="AK10">
        <v>1120</v>
      </c>
      <c r="AL10">
        <v>1120</v>
      </c>
      <c r="AM10" s="2">
        <f t="shared" si="21"/>
        <v>2240</v>
      </c>
      <c r="AN10" s="2">
        <f t="shared" si="22"/>
        <v>17920</v>
      </c>
      <c r="AO10" s="2">
        <f t="shared" si="23"/>
        <v>4.9777777777777779</v>
      </c>
      <c r="AP10">
        <v>1120</v>
      </c>
      <c r="AQ10">
        <v>1120</v>
      </c>
      <c r="AR10" s="2">
        <f t="shared" si="24"/>
        <v>2240</v>
      </c>
      <c r="AS10" s="2">
        <f t="shared" si="25"/>
        <v>17920</v>
      </c>
      <c r="AT10" s="2">
        <f t="shared" si="26"/>
        <v>4.9777777777777779</v>
      </c>
      <c r="AU10">
        <v>1120</v>
      </c>
      <c r="AV10">
        <v>1120</v>
      </c>
      <c r="AW10" s="2">
        <f t="shared" si="27"/>
        <v>2240</v>
      </c>
      <c r="AX10" s="2">
        <f t="shared" si="28"/>
        <v>17920</v>
      </c>
      <c r="AY10" s="2">
        <f t="shared" si="29"/>
        <v>4.9777777777777779</v>
      </c>
    </row>
    <row r="11" spans="1:51" x14ac:dyDescent="0.3">
      <c r="A11" s="2" t="s">
        <v>15</v>
      </c>
      <c r="B11" s="2">
        <v>1120</v>
      </c>
      <c r="C11" s="2">
        <v>1120</v>
      </c>
      <c r="D11" s="2">
        <f t="shared" si="0"/>
        <v>2240</v>
      </c>
      <c r="E11" s="2">
        <f t="shared" si="1"/>
        <v>17920</v>
      </c>
      <c r="F11" s="2">
        <f t="shared" si="2"/>
        <v>4.9777777777777779</v>
      </c>
      <c r="G11">
        <v>1040</v>
      </c>
      <c r="H11">
        <v>1040</v>
      </c>
      <c r="I11" s="2">
        <f t="shared" si="3"/>
        <v>2080</v>
      </c>
      <c r="J11" s="2">
        <f t="shared" si="4"/>
        <v>16640</v>
      </c>
      <c r="K11" s="2">
        <f t="shared" si="5"/>
        <v>4.6222222222222218</v>
      </c>
      <c r="L11">
        <v>1040</v>
      </c>
      <c r="M11">
        <v>1040</v>
      </c>
      <c r="N11" s="2">
        <f t="shared" si="6"/>
        <v>2080</v>
      </c>
      <c r="O11" s="2">
        <f t="shared" si="7"/>
        <v>16640</v>
      </c>
      <c r="P11" s="2">
        <f t="shared" si="8"/>
        <v>4.6222222222222218</v>
      </c>
      <c r="Q11">
        <v>1040</v>
      </c>
      <c r="R11">
        <v>1040</v>
      </c>
      <c r="S11" s="2">
        <f t="shared" si="9"/>
        <v>2080</v>
      </c>
      <c r="T11" s="2">
        <f t="shared" si="10"/>
        <v>16640</v>
      </c>
      <c r="U11" s="2">
        <f t="shared" si="11"/>
        <v>4.6222222222222218</v>
      </c>
      <c r="V11">
        <v>1040</v>
      </c>
      <c r="W11">
        <v>1040</v>
      </c>
      <c r="X11" s="2">
        <f t="shared" si="12"/>
        <v>2080</v>
      </c>
      <c r="Y11" s="2">
        <f t="shared" si="13"/>
        <v>16640</v>
      </c>
      <c r="Z11" s="2">
        <f t="shared" si="14"/>
        <v>4.6222222222222218</v>
      </c>
      <c r="AA11">
        <v>1120</v>
      </c>
      <c r="AB11">
        <v>1120</v>
      </c>
      <c r="AC11" s="2">
        <f t="shared" si="15"/>
        <v>2240</v>
      </c>
      <c r="AD11" s="2">
        <f t="shared" si="16"/>
        <v>17920</v>
      </c>
      <c r="AE11" s="2">
        <f t="shared" si="17"/>
        <v>4.9777777777777779</v>
      </c>
      <c r="AF11">
        <v>960</v>
      </c>
      <c r="AG11">
        <v>960</v>
      </c>
      <c r="AH11" s="2">
        <f t="shared" si="18"/>
        <v>1920</v>
      </c>
      <c r="AI11" s="2">
        <f t="shared" si="19"/>
        <v>15360</v>
      </c>
      <c r="AJ11" s="2">
        <f t="shared" si="20"/>
        <v>4.2666666666666666</v>
      </c>
      <c r="AK11">
        <v>1200</v>
      </c>
      <c r="AL11">
        <v>1200</v>
      </c>
      <c r="AM11" s="2">
        <f t="shared" si="21"/>
        <v>2400</v>
      </c>
      <c r="AN11" s="2">
        <f t="shared" si="22"/>
        <v>19200</v>
      </c>
      <c r="AO11" s="2">
        <f t="shared" si="23"/>
        <v>5.333333333333333</v>
      </c>
      <c r="AP11">
        <v>1120</v>
      </c>
      <c r="AQ11">
        <v>1120</v>
      </c>
      <c r="AR11" s="2">
        <f t="shared" si="24"/>
        <v>2240</v>
      </c>
      <c r="AS11" s="2">
        <f t="shared" si="25"/>
        <v>17920</v>
      </c>
      <c r="AT11" s="2">
        <f t="shared" si="26"/>
        <v>4.9777777777777779</v>
      </c>
      <c r="AU11">
        <v>1200</v>
      </c>
      <c r="AV11">
        <v>1200</v>
      </c>
      <c r="AW11" s="2">
        <f t="shared" si="27"/>
        <v>2400</v>
      </c>
      <c r="AX11" s="2">
        <f t="shared" si="28"/>
        <v>19200</v>
      </c>
      <c r="AY11" s="2">
        <f t="shared" si="29"/>
        <v>5.333333333333333</v>
      </c>
    </row>
    <row r="12" spans="1:51" x14ac:dyDescent="0.3">
      <c r="A12" s="2" t="s">
        <v>16</v>
      </c>
      <c r="B12" s="2">
        <v>960</v>
      </c>
      <c r="C12" s="2">
        <v>960</v>
      </c>
      <c r="D12" s="2">
        <f t="shared" si="0"/>
        <v>1920</v>
      </c>
      <c r="E12" s="2">
        <f t="shared" si="1"/>
        <v>15360</v>
      </c>
      <c r="F12" s="2">
        <f t="shared" si="2"/>
        <v>4.2666666666666666</v>
      </c>
      <c r="G12">
        <v>720</v>
      </c>
      <c r="H12">
        <v>720</v>
      </c>
      <c r="I12" s="2">
        <f t="shared" si="3"/>
        <v>1440</v>
      </c>
      <c r="J12" s="2">
        <f t="shared" si="4"/>
        <v>11520</v>
      </c>
      <c r="K12" s="2">
        <f t="shared" si="5"/>
        <v>3.2</v>
      </c>
      <c r="L12">
        <v>1120</v>
      </c>
      <c r="M12">
        <v>1120</v>
      </c>
      <c r="N12" s="2">
        <f t="shared" si="6"/>
        <v>2240</v>
      </c>
      <c r="O12" s="2">
        <f t="shared" si="7"/>
        <v>17920</v>
      </c>
      <c r="P12" s="2">
        <f t="shared" si="8"/>
        <v>4.9777777777777779</v>
      </c>
      <c r="Q12">
        <v>880</v>
      </c>
      <c r="R12">
        <v>880</v>
      </c>
      <c r="S12" s="2">
        <f t="shared" si="9"/>
        <v>1760</v>
      </c>
      <c r="T12" s="2">
        <f t="shared" si="10"/>
        <v>14080</v>
      </c>
      <c r="U12" s="2">
        <f t="shared" si="11"/>
        <v>3.911111111111111</v>
      </c>
      <c r="V12">
        <v>880</v>
      </c>
      <c r="W12">
        <v>880</v>
      </c>
      <c r="X12" s="2">
        <f t="shared" si="12"/>
        <v>1760</v>
      </c>
      <c r="Y12" s="2">
        <f t="shared" si="13"/>
        <v>14080</v>
      </c>
      <c r="Z12" s="2">
        <f t="shared" si="14"/>
        <v>3.911111111111111</v>
      </c>
      <c r="AA12">
        <v>960</v>
      </c>
      <c r="AB12">
        <v>960</v>
      </c>
      <c r="AC12" s="2">
        <f t="shared" si="15"/>
        <v>1920</v>
      </c>
      <c r="AD12" s="2">
        <f t="shared" si="16"/>
        <v>15360</v>
      </c>
      <c r="AE12" s="2">
        <f t="shared" si="17"/>
        <v>4.2666666666666666</v>
      </c>
      <c r="AF12">
        <v>1280</v>
      </c>
      <c r="AG12">
        <v>1280</v>
      </c>
      <c r="AH12" s="2">
        <f t="shared" si="18"/>
        <v>2560</v>
      </c>
      <c r="AI12" s="2">
        <f t="shared" si="19"/>
        <v>20480</v>
      </c>
      <c r="AJ12" s="2">
        <f t="shared" si="20"/>
        <v>5.6888888888888891</v>
      </c>
      <c r="AK12">
        <v>1040</v>
      </c>
      <c r="AL12">
        <v>1040</v>
      </c>
      <c r="AM12" s="2">
        <f t="shared" si="21"/>
        <v>2080</v>
      </c>
      <c r="AN12" s="2">
        <f t="shared" si="22"/>
        <v>16640</v>
      </c>
      <c r="AO12" s="2">
        <f t="shared" si="23"/>
        <v>4.6222222222222218</v>
      </c>
      <c r="AP12">
        <v>960</v>
      </c>
      <c r="AQ12">
        <v>960</v>
      </c>
      <c r="AR12" s="2">
        <f t="shared" si="24"/>
        <v>1920</v>
      </c>
      <c r="AS12" s="2">
        <f t="shared" si="25"/>
        <v>15360</v>
      </c>
      <c r="AT12" s="2">
        <f t="shared" si="26"/>
        <v>4.2666666666666666</v>
      </c>
      <c r="AU12">
        <v>960</v>
      </c>
      <c r="AV12">
        <v>960</v>
      </c>
      <c r="AW12" s="2">
        <f t="shared" si="27"/>
        <v>1920</v>
      </c>
      <c r="AX12" s="2">
        <f t="shared" si="28"/>
        <v>15360</v>
      </c>
      <c r="AY12" s="2">
        <f t="shared" si="29"/>
        <v>4.2666666666666666</v>
      </c>
    </row>
    <row r="13" spans="1:51" x14ac:dyDescent="0.3">
      <c r="A13" s="2" t="s">
        <v>17</v>
      </c>
      <c r="B13" s="2">
        <v>880</v>
      </c>
      <c r="C13" s="2">
        <v>880</v>
      </c>
      <c r="D13" s="2">
        <f t="shared" si="0"/>
        <v>1760</v>
      </c>
      <c r="E13" s="2">
        <f t="shared" si="1"/>
        <v>14080</v>
      </c>
      <c r="F13" s="2">
        <f t="shared" si="2"/>
        <v>3.911111111111111</v>
      </c>
      <c r="G13">
        <v>1120</v>
      </c>
      <c r="H13">
        <v>1120</v>
      </c>
      <c r="I13" s="2">
        <f t="shared" si="3"/>
        <v>2240</v>
      </c>
      <c r="J13" s="2">
        <f t="shared" si="4"/>
        <v>17920</v>
      </c>
      <c r="K13" s="2">
        <f t="shared" si="5"/>
        <v>4.9777777777777779</v>
      </c>
      <c r="L13">
        <v>880</v>
      </c>
      <c r="M13">
        <v>880</v>
      </c>
      <c r="N13" s="2">
        <f t="shared" si="6"/>
        <v>1760</v>
      </c>
      <c r="O13" s="2">
        <f t="shared" si="7"/>
        <v>14080</v>
      </c>
      <c r="P13" s="2">
        <f t="shared" si="8"/>
        <v>3.911111111111111</v>
      </c>
      <c r="Q13">
        <v>1040</v>
      </c>
      <c r="R13">
        <v>1040</v>
      </c>
      <c r="S13" s="2">
        <f t="shared" si="9"/>
        <v>2080</v>
      </c>
      <c r="T13" s="2">
        <f t="shared" si="10"/>
        <v>16640</v>
      </c>
      <c r="U13" s="2">
        <f t="shared" si="11"/>
        <v>4.6222222222222218</v>
      </c>
      <c r="V13">
        <v>1040</v>
      </c>
      <c r="W13">
        <v>1040</v>
      </c>
      <c r="X13" s="2">
        <f t="shared" si="12"/>
        <v>2080</v>
      </c>
      <c r="Y13" s="2">
        <f t="shared" si="13"/>
        <v>16640</v>
      </c>
      <c r="Z13" s="2">
        <f t="shared" si="14"/>
        <v>4.6222222222222218</v>
      </c>
      <c r="AA13">
        <v>800</v>
      </c>
      <c r="AB13">
        <v>800</v>
      </c>
      <c r="AC13" s="2">
        <f t="shared" si="15"/>
        <v>1600</v>
      </c>
      <c r="AD13" s="2">
        <f t="shared" si="16"/>
        <v>12800</v>
      </c>
      <c r="AE13" s="2">
        <f t="shared" si="17"/>
        <v>3.5555555555555554</v>
      </c>
      <c r="AF13">
        <v>1040</v>
      </c>
      <c r="AG13">
        <v>1040</v>
      </c>
      <c r="AH13" s="2">
        <f t="shared" si="18"/>
        <v>2080</v>
      </c>
      <c r="AI13" s="2">
        <f t="shared" si="19"/>
        <v>16640</v>
      </c>
      <c r="AJ13" s="2">
        <f t="shared" si="20"/>
        <v>4.6222222222222218</v>
      </c>
      <c r="AK13">
        <v>960</v>
      </c>
      <c r="AL13">
        <v>960</v>
      </c>
      <c r="AM13" s="2">
        <f t="shared" si="21"/>
        <v>1920</v>
      </c>
      <c r="AN13" s="2">
        <f t="shared" si="22"/>
        <v>15360</v>
      </c>
      <c r="AO13" s="2">
        <f t="shared" si="23"/>
        <v>4.2666666666666666</v>
      </c>
      <c r="AP13">
        <v>1120</v>
      </c>
      <c r="AQ13">
        <v>1120</v>
      </c>
      <c r="AR13" s="2">
        <f t="shared" si="24"/>
        <v>2240</v>
      </c>
      <c r="AS13" s="2">
        <f t="shared" si="25"/>
        <v>17920</v>
      </c>
      <c r="AT13" s="2">
        <f t="shared" si="26"/>
        <v>4.9777777777777779</v>
      </c>
      <c r="AU13">
        <v>880</v>
      </c>
      <c r="AV13">
        <v>880</v>
      </c>
      <c r="AW13" s="2">
        <f t="shared" si="27"/>
        <v>1760</v>
      </c>
      <c r="AX13" s="2">
        <f t="shared" si="28"/>
        <v>14080</v>
      </c>
      <c r="AY13" s="2">
        <f t="shared" si="29"/>
        <v>3.911111111111111</v>
      </c>
    </row>
    <row r="14" spans="1:51" x14ac:dyDescent="0.3">
      <c r="A14" s="2" t="s">
        <v>18</v>
      </c>
      <c r="B14" s="2">
        <v>1040</v>
      </c>
      <c r="C14" s="2">
        <v>1040</v>
      </c>
      <c r="D14" s="2">
        <f t="shared" si="0"/>
        <v>2080</v>
      </c>
      <c r="E14" s="2">
        <f t="shared" si="1"/>
        <v>16640</v>
      </c>
      <c r="F14" s="2">
        <f t="shared" si="2"/>
        <v>4.6222222222222218</v>
      </c>
      <c r="G14">
        <v>1120</v>
      </c>
      <c r="H14">
        <v>1120</v>
      </c>
      <c r="I14" s="2">
        <f t="shared" si="3"/>
        <v>2240</v>
      </c>
      <c r="J14" s="2">
        <f t="shared" si="4"/>
        <v>17920</v>
      </c>
      <c r="K14" s="2">
        <f t="shared" si="5"/>
        <v>4.9777777777777779</v>
      </c>
      <c r="L14">
        <v>1040</v>
      </c>
      <c r="M14">
        <v>1040</v>
      </c>
      <c r="N14" s="2">
        <f t="shared" si="6"/>
        <v>2080</v>
      </c>
      <c r="O14" s="2">
        <f t="shared" si="7"/>
        <v>16640</v>
      </c>
      <c r="P14" s="2">
        <f t="shared" si="8"/>
        <v>4.6222222222222218</v>
      </c>
      <c r="Q14">
        <v>960</v>
      </c>
      <c r="R14">
        <v>960</v>
      </c>
      <c r="S14" s="2">
        <f t="shared" si="9"/>
        <v>1920</v>
      </c>
      <c r="T14" s="2">
        <f t="shared" si="10"/>
        <v>15360</v>
      </c>
      <c r="U14" s="2">
        <f t="shared" si="11"/>
        <v>4.2666666666666666</v>
      </c>
      <c r="V14">
        <v>960</v>
      </c>
      <c r="W14">
        <v>960</v>
      </c>
      <c r="X14" s="2">
        <f t="shared" si="12"/>
        <v>1920</v>
      </c>
      <c r="Y14" s="2">
        <f t="shared" si="13"/>
        <v>15360</v>
      </c>
      <c r="Z14" s="2">
        <f t="shared" si="14"/>
        <v>4.2666666666666666</v>
      </c>
      <c r="AA14">
        <v>960</v>
      </c>
      <c r="AB14">
        <v>960</v>
      </c>
      <c r="AC14" s="2">
        <f t="shared" si="15"/>
        <v>1920</v>
      </c>
      <c r="AD14" s="2">
        <f t="shared" si="16"/>
        <v>15360</v>
      </c>
      <c r="AE14" s="2">
        <f t="shared" si="17"/>
        <v>4.2666666666666666</v>
      </c>
      <c r="AF14">
        <v>1200</v>
      </c>
      <c r="AG14">
        <v>1200</v>
      </c>
      <c r="AH14" s="2">
        <f t="shared" si="18"/>
        <v>2400</v>
      </c>
      <c r="AI14" s="2">
        <f t="shared" si="19"/>
        <v>19200</v>
      </c>
      <c r="AJ14" s="2">
        <f t="shared" si="20"/>
        <v>5.333333333333333</v>
      </c>
      <c r="AK14">
        <v>1040</v>
      </c>
      <c r="AL14">
        <v>1040</v>
      </c>
      <c r="AM14" s="2">
        <f t="shared" si="21"/>
        <v>2080</v>
      </c>
      <c r="AN14" s="2">
        <f t="shared" si="22"/>
        <v>16640</v>
      </c>
      <c r="AO14" s="2">
        <f t="shared" si="23"/>
        <v>4.6222222222222218</v>
      </c>
      <c r="AP14">
        <v>880</v>
      </c>
      <c r="AQ14">
        <v>880</v>
      </c>
      <c r="AR14" s="2">
        <f t="shared" si="24"/>
        <v>1760</v>
      </c>
      <c r="AS14" s="2">
        <f t="shared" si="25"/>
        <v>14080</v>
      </c>
      <c r="AT14" s="2">
        <f t="shared" si="26"/>
        <v>3.911111111111111</v>
      </c>
      <c r="AU14">
        <v>1120</v>
      </c>
      <c r="AV14">
        <v>1120</v>
      </c>
      <c r="AW14" s="2">
        <f t="shared" si="27"/>
        <v>2240</v>
      </c>
      <c r="AX14" s="2">
        <f t="shared" si="28"/>
        <v>17920</v>
      </c>
      <c r="AY14" s="2">
        <f t="shared" si="29"/>
        <v>4.9777777777777779</v>
      </c>
    </row>
    <row r="15" spans="1:51" x14ac:dyDescent="0.3">
      <c r="A15" s="2" t="s">
        <v>19</v>
      </c>
      <c r="B15" s="2">
        <v>1200</v>
      </c>
      <c r="C15" s="2">
        <v>1200</v>
      </c>
      <c r="D15" s="2">
        <f t="shared" si="0"/>
        <v>2400</v>
      </c>
      <c r="E15" s="2">
        <f t="shared" si="1"/>
        <v>19200</v>
      </c>
      <c r="F15" s="2">
        <f t="shared" si="2"/>
        <v>5.333333333333333</v>
      </c>
      <c r="G15">
        <v>1200</v>
      </c>
      <c r="H15">
        <v>1200</v>
      </c>
      <c r="I15" s="2">
        <f t="shared" si="3"/>
        <v>2400</v>
      </c>
      <c r="J15" s="2">
        <f t="shared" si="4"/>
        <v>19200</v>
      </c>
      <c r="K15" s="2">
        <f t="shared" si="5"/>
        <v>5.333333333333333</v>
      </c>
      <c r="L15">
        <v>1040</v>
      </c>
      <c r="M15">
        <v>1040</v>
      </c>
      <c r="N15" s="2">
        <f t="shared" si="6"/>
        <v>2080</v>
      </c>
      <c r="O15" s="2">
        <f t="shared" si="7"/>
        <v>16640</v>
      </c>
      <c r="P15" s="2">
        <f t="shared" si="8"/>
        <v>4.6222222222222218</v>
      </c>
      <c r="Q15">
        <v>1040</v>
      </c>
      <c r="R15">
        <v>1040</v>
      </c>
      <c r="S15" s="2">
        <f t="shared" si="9"/>
        <v>2080</v>
      </c>
      <c r="T15" s="2">
        <f t="shared" si="10"/>
        <v>16640</v>
      </c>
      <c r="U15" s="2">
        <f t="shared" si="11"/>
        <v>4.6222222222222218</v>
      </c>
      <c r="V15">
        <v>1040</v>
      </c>
      <c r="W15">
        <v>1040</v>
      </c>
      <c r="X15" s="2">
        <f t="shared" si="12"/>
        <v>2080</v>
      </c>
      <c r="Y15" s="2">
        <f t="shared" si="13"/>
        <v>16640</v>
      </c>
      <c r="Z15" s="2">
        <f t="shared" si="14"/>
        <v>4.6222222222222218</v>
      </c>
      <c r="AA15">
        <v>1200</v>
      </c>
      <c r="AB15">
        <v>1200</v>
      </c>
      <c r="AC15" s="2">
        <f t="shared" si="15"/>
        <v>2400</v>
      </c>
      <c r="AD15" s="2">
        <f t="shared" si="16"/>
        <v>19200</v>
      </c>
      <c r="AE15" s="2">
        <f t="shared" si="17"/>
        <v>5.333333333333333</v>
      </c>
      <c r="AF15">
        <v>1120</v>
      </c>
      <c r="AG15">
        <v>1120</v>
      </c>
      <c r="AH15" s="2">
        <f t="shared" si="18"/>
        <v>2240</v>
      </c>
      <c r="AI15" s="2">
        <f t="shared" si="19"/>
        <v>17920</v>
      </c>
      <c r="AJ15" s="2">
        <f t="shared" si="20"/>
        <v>4.9777777777777779</v>
      </c>
      <c r="AK15">
        <v>1280</v>
      </c>
      <c r="AL15">
        <v>1280</v>
      </c>
      <c r="AM15" s="2">
        <f t="shared" si="21"/>
        <v>2560</v>
      </c>
      <c r="AN15" s="2">
        <f t="shared" si="22"/>
        <v>20480</v>
      </c>
      <c r="AO15" s="2">
        <f t="shared" si="23"/>
        <v>5.6888888888888891</v>
      </c>
      <c r="AP15">
        <v>1040</v>
      </c>
      <c r="AQ15">
        <v>1040</v>
      </c>
      <c r="AR15" s="2">
        <f t="shared" si="24"/>
        <v>2080</v>
      </c>
      <c r="AS15" s="2">
        <f t="shared" si="25"/>
        <v>16640</v>
      </c>
      <c r="AT15" s="2">
        <f t="shared" si="26"/>
        <v>4.6222222222222218</v>
      </c>
      <c r="AU15">
        <v>1280</v>
      </c>
      <c r="AV15">
        <v>1280</v>
      </c>
      <c r="AW15" s="2">
        <f t="shared" si="27"/>
        <v>2560</v>
      </c>
      <c r="AX15" s="2">
        <f t="shared" si="28"/>
        <v>20480</v>
      </c>
      <c r="AY15" s="2">
        <f t="shared" si="29"/>
        <v>5.6888888888888891</v>
      </c>
    </row>
    <row r="16" spans="1:51" x14ac:dyDescent="0.3">
      <c r="A16" s="2" t="s">
        <v>20</v>
      </c>
      <c r="B16" s="2">
        <v>1040</v>
      </c>
      <c r="C16" s="2">
        <v>1040</v>
      </c>
      <c r="D16" s="2">
        <f t="shared" si="0"/>
        <v>2080</v>
      </c>
      <c r="E16" s="2">
        <f t="shared" si="1"/>
        <v>16640</v>
      </c>
      <c r="F16" s="2">
        <f t="shared" si="2"/>
        <v>4.6222222222222218</v>
      </c>
      <c r="G16">
        <v>1040</v>
      </c>
      <c r="H16">
        <v>1040</v>
      </c>
      <c r="I16" s="2">
        <f t="shared" si="3"/>
        <v>2080</v>
      </c>
      <c r="J16" s="2">
        <f t="shared" si="4"/>
        <v>16640</v>
      </c>
      <c r="K16" s="2">
        <f t="shared" si="5"/>
        <v>4.6222222222222218</v>
      </c>
      <c r="L16">
        <v>1040</v>
      </c>
      <c r="M16">
        <v>1040</v>
      </c>
      <c r="N16" s="2">
        <f t="shared" si="6"/>
        <v>2080</v>
      </c>
      <c r="O16" s="2">
        <f t="shared" si="7"/>
        <v>16640</v>
      </c>
      <c r="P16" s="2">
        <f t="shared" si="8"/>
        <v>4.6222222222222218</v>
      </c>
      <c r="Q16">
        <v>1200</v>
      </c>
      <c r="R16">
        <v>1200</v>
      </c>
      <c r="S16" s="2">
        <f t="shared" si="9"/>
        <v>2400</v>
      </c>
      <c r="T16" s="2">
        <f t="shared" si="10"/>
        <v>19200</v>
      </c>
      <c r="U16" s="2">
        <f t="shared" si="11"/>
        <v>5.333333333333333</v>
      </c>
      <c r="V16">
        <v>1200</v>
      </c>
      <c r="W16">
        <v>1200</v>
      </c>
      <c r="X16" s="2">
        <f t="shared" si="12"/>
        <v>2400</v>
      </c>
      <c r="Y16" s="2">
        <f t="shared" si="13"/>
        <v>19200</v>
      </c>
      <c r="Z16" s="2">
        <f t="shared" si="14"/>
        <v>5.333333333333333</v>
      </c>
      <c r="AA16">
        <v>960</v>
      </c>
      <c r="AB16">
        <v>960</v>
      </c>
      <c r="AC16" s="2">
        <f t="shared" si="15"/>
        <v>1920</v>
      </c>
      <c r="AD16" s="2">
        <f t="shared" si="16"/>
        <v>15360</v>
      </c>
      <c r="AE16" s="2">
        <f t="shared" si="17"/>
        <v>4.2666666666666666</v>
      </c>
      <c r="AF16">
        <v>1120</v>
      </c>
      <c r="AG16">
        <v>1120</v>
      </c>
      <c r="AH16" s="2">
        <f t="shared" si="18"/>
        <v>2240</v>
      </c>
      <c r="AI16" s="2">
        <f t="shared" si="19"/>
        <v>17920</v>
      </c>
      <c r="AJ16" s="2">
        <f t="shared" si="20"/>
        <v>4.9777777777777779</v>
      </c>
      <c r="AK16">
        <v>1040</v>
      </c>
      <c r="AL16">
        <v>1040</v>
      </c>
      <c r="AM16" s="2">
        <f t="shared" si="21"/>
        <v>2080</v>
      </c>
      <c r="AN16" s="2">
        <f t="shared" si="22"/>
        <v>16640</v>
      </c>
      <c r="AO16" s="2">
        <f t="shared" si="23"/>
        <v>4.6222222222222218</v>
      </c>
      <c r="AP16">
        <v>1040</v>
      </c>
      <c r="AQ16">
        <v>1040</v>
      </c>
      <c r="AR16" s="2">
        <f t="shared" si="24"/>
        <v>2080</v>
      </c>
      <c r="AS16" s="2">
        <f t="shared" si="25"/>
        <v>16640</v>
      </c>
      <c r="AT16" s="2">
        <f t="shared" si="26"/>
        <v>4.6222222222222218</v>
      </c>
      <c r="AU16">
        <v>1200</v>
      </c>
      <c r="AV16">
        <v>1200</v>
      </c>
      <c r="AW16" s="2">
        <f t="shared" si="27"/>
        <v>2400</v>
      </c>
      <c r="AX16" s="2">
        <f t="shared" si="28"/>
        <v>19200</v>
      </c>
      <c r="AY16" s="2">
        <f t="shared" si="29"/>
        <v>5.333333333333333</v>
      </c>
    </row>
    <row r="17" spans="1:51" x14ac:dyDescent="0.3">
      <c r="A17" s="2" t="s">
        <v>21</v>
      </c>
      <c r="B17" s="2">
        <v>800</v>
      </c>
      <c r="C17" s="2">
        <v>800</v>
      </c>
      <c r="D17" s="2">
        <f t="shared" si="0"/>
        <v>1600</v>
      </c>
      <c r="E17" s="2">
        <f t="shared" si="1"/>
        <v>12800</v>
      </c>
      <c r="F17" s="2">
        <f t="shared" si="2"/>
        <v>3.5555555555555554</v>
      </c>
      <c r="G17">
        <v>960</v>
      </c>
      <c r="H17">
        <v>960</v>
      </c>
      <c r="I17" s="2">
        <f t="shared" si="3"/>
        <v>1920</v>
      </c>
      <c r="J17" s="2">
        <f t="shared" si="4"/>
        <v>15360</v>
      </c>
      <c r="K17" s="2">
        <f t="shared" si="5"/>
        <v>4.2666666666666666</v>
      </c>
      <c r="L17">
        <v>1040</v>
      </c>
      <c r="M17">
        <v>1040</v>
      </c>
      <c r="N17" s="2">
        <f t="shared" si="6"/>
        <v>2080</v>
      </c>
      <c r="O17" s="2">
        <f t="shared" si="7"/>
        <v>16640</v>
      </c>
      <c r="P17" s="2">
        <f t="shared" si="8"/>
        <v>4.6222222222222218</v>
      </c>
      <c r="Q17">
        <v>960</v>
      </c>
      <c r="R17">
        <v>960</v>
      </c>
      <c r="S17" s="2">
        <f t="shared" si="9"/>
        <v>1920</v>
      </c>
      <c r="T17" s="2">
        <f t="shared" si="10"/>
        <v>15360</v>
      </c>
      <c r="U17" s="2">
        <f t="shared" si="11"/>
        <v>4.2666666666666666</v>
      </c>
      <c r="V17">
        <v>960</v>
      </c>
      <c r="W17">
        <v>960</v>
      </c>
      <c r="X17" s="2">
        <f t="shared" si="12"/>
        <v>1920</v>
      </c>
      <c r="Y17" s="2">
        <f t="shared" si="13"/>
        <v>15360</v>
      </c>
      <c r="Z17" s="2">
        <f t="shared" si="14"/>
        <v>4.2666666666666666</v>
      </c>
      <c r="AA17">
        <v>1040</v>
      </c>
      <c r="AB17">
        <v>1040</v>
      </c>
      <c r="AC17" s="2">
        <f t="shared" si="15"/>
        <v>2080</v>
      </c>
      <c r="AD17" s="2">
        <f t="shared" si="16"/>
        <v>16640</v>
      </c>
      <c r="AE17" s="2">
        <f t="shared" si="17"/>
        <v>4.6222222222222218</v>
      </c>
      <c r="AF17">
        <v>1120</v>
      </c>
      <c r="AG17">
        <v>1120</v>
      </c>
      <c r="AH17" s="2">
        <f t="shared" si="18"/>
        <v>2240</v>
      </c>
      <c r="AI17" s="2">
        <f t="shared" si="19"/>
        <v>17920</v>
      </c>
      <c r="AJ17" s="2">
        <f t="shared" si="20"/>
        <v>4.9777777777777779</v>
      </c>
      <c r="AK17">
        <v>960</v>
      </c>
      <c r="AL17">
        <v>960</v>
      </c>
      <c r="AM17" s="2">
        <f t="shared" si="21"/>
        <v>1920</v>
      </c>
      <c r="AN17" s="2">
        <f t="shared" si="22"/>
        <v>15360</v>
      </c>
      <c r="AO17" s="2">
        <f t="shared" si="23"/>
        <v>4.2666666666666666</v>
      </c>
      <c r="AP17">
        <v>1120</v>
      </c>
      <c r="AQ17">
        <v>1120</v>
      </c>
      <c r="AR17" s="2">
        <f t="shared" si="24"/>
        <v>2240</v>
      </c>
      <c r="AS17" s="2">
        <f t="shared" si="25"/>
        <v>17920</v>
      </c>
      <c r="AT17" s="2">
        <f t="shared" si="26"/>
        <v>4.9777777777777779</v>
      </c>
      <c r="AU17">
        <v>1040</v>
      </c>
      <c r="AV17">
        <v>1040</v>
      </c>
      <c r="AW17" s="2">
        <f t="shared" si="27"/>
        <v>2080</v>
      </c>
      <c r="AX17" s="2">
        <f t="shared" si="28"/>
        <v>16640</v>
      </c>
      <c r="AY17" s="2">
        <f t="shared" si="29"/>
        <v>4.6222222222222218</v>
      </c>
    </row>
    <row r="18" spans="1:51" x14ac:dyDescent="0.3">
      <c r="A18" s="2" t="s">
        <v>22</v>
      </c>
      <c r="B18" s="2">
        <v>1360</v>
      </c>
      <c r="C18" s="2">
        <v>1360</v>
      </c>
      <c r="D18" s="2">
        <f t="shared" si="0"/>
        <v>2720</v>
      </c>
      <c r="E18" s="2">
        <f t="shared" si="1"/>
        <v>21760</v>
      </c>
      <c r="F18" s="2">
        <f t="shared" si="2"/>
        <v>6.0444444444444443</v>
      </c>
      <c r="G18">
        <v>1120</v>
      </c>
      <c r="H18">
        <v>1120</v>
      </c>
      <c r="I18" s="2">
        <f t="shared" si="3"/>
        <v>2240</v>
      </c>
      <c r="J18" s="2">
        <f t="shared" si="4"/>
        <v>17920</v>
      </c>
      <c r="K18" s="2">
        <f t="shared" si="5"/>
        <v>4.9777777777777779</v>
      </c>
      <c r="L18">
        <v>1040</v>
      </c>
      <c r="M18">
        <v>1040</v>
      </c>
      <c r="N18" s="2">
        <f t="shared" si="6"/>
        <v>2080</v>
      </c>
      <c r="O18" s="2">
        <f t="shared" si="7"/>
        <v>16640</v>
      </c>
      <c r="P18" s="2">
        <f t="shared" si="8"/>
        <v>4.6222222222222218</v>
      </c>
      <c r="Q18">
        <v>960</v>
      </c>
      <c r="R18">
        <v>960</v>
      </c>
      <c r="S18" s="2">
        <f t="shared" si="9"/>
        <v>1920</v>
      </c>
      <c r="T18" s="2">
        <f t="shared" si="10"/>
        <v>15360</v>
      </c>
      <c r="U18" s="2">
        <f t="shared" si="11"/>
        <v>4.2666666666666666</v>
      </c>
      <c r="V18">
        <v>960</v>
      </c>
      <c r="W18">
        <v>960</v>
      </c>
      <c r="X18" s="2">
        <f t="shared" si="12"/>
        <v>1920</v>
      </c>
      <c r="Y18" s="2">
        <f t="shared" si="13"/>
        <v>15360</v>
      </c>
      <c r="Z18" s="2">
        <f t="shared" si="14"/>
        <v>4.2666666666666666</v>
      </c>
      <c r="AA18">
        <v>1040</v>
      </c>
      <c r="AB18">
        <v>1040</v>
      </c>
      <c r="AC18" s="2">
        <f t="shared" si="15"/>
        <v>2080</v>
      </c>
      <c r="AD18" s="2">
        <f t="shared" si="16"/>
        <v>16640</v>
      </c>
      <c r="AE18" s="2">
        <f t="shared" si="17"/>
        <v>4.6222222222222218</v>
      </c>
      <c r="AF18">
        <v>1120</v>
      </c>
      <c r="AG18">
        <v>1120</v>
      </c>
      <c r="AH18" s="2">
        <f t="shared" si="18"/>
        <v>2240</v>
      </c>
      <c r="AI18" s="2">
        <f t="shared" si="19"/>
        <v>17920</v>
      </c>
      <c r="AJ18" s="2">
        <f t="shared" si="20"/>
        <v>4.9777777777777779</v>
      </c>
      <c r="AK18">
        <v>1200</v>
      </c>
      <c r="AL18">
        <v>1200</v>
      </c>
      <c r="AM18" s="2">
        <f t="shared" si="21"/>
        <v>2400</v>
      </c>
      <c r="AN18" s="2">
        <f t="shared" si="22"/>
        <v>19200</v>
      </c>
      <c r="AO18" s="2">
        <f t="shared" si="23"/>
        <v>5.333333333333333</v>
      </c>
      <c r="AP18">
        <v>1040</v>
      </c>
      <c r="AQ18">
        <v>1040</v>
      </c>
      <c r="AR18" s="2">
        <f t="shared" si="24"/>
        <v>2080</v>
      </c>
      <c r="AS18" s="2">
        <f t="shared" si="25"/>
        <v>16640</v>
      </c>
      <c r="AT18" s="2">
        <f t="shared" si="26"/>
        <v>4.6222222222222218</v>
      </c>
      <c r="AU18">
        <v>1200</v>
      </c>
      <c r="AV18">
        <v>1200</v>
      </c>
      <c r="AW18" s="2">
        <f t="shared" si="27"/>
        <v>2400</v>
      </c>
      <c r="AX18" s="2">
        <f t="shared" si="28"/>
        <v>19200</v>
      </c>
      <c r="AY18" s="2">
        <f t="shared" si="29"/>
        <v>5.333333333333333</v>
      </c>
    </row>
    <row r="19" spans="1:51" x14ac:dyDescent="0.3">
      <c r="A19" s="2" t="s">
        <v>23</v>
      </c>
      <c r="B19" s="2">
        <v>880</v>
      </c>
      <c r="C19" s="2">
        <v>880</v>
      </c>
      <c r="D19" s="2">
        <f t="shared" si="0"/>
        <v>1760</v>
      </c>
      <c r="E19" s="2">
        <f t="shared" si="1"/>
        <v>14080</v>
      </c>
      <c r="F19" s="2">
        <f t="shared" si="2"/>
        <v>3.911111111111111</v>
      </c>
      <c r="G19">
        <v>880</v>
      </c>
      <c r="H19">
        <v>880</v>
      </c>
      <c r="I19" s="2">
        <f t="shared" si="3"/>
        <v>1760</v>
      </c>
      <c r="J19" s="2">
        <f t="shared" si="4"/>
        <v>14080</v>
      </c>
      <c r="K19" s="2">
        <f t="shared" si="5"/>
        <v>3.911111111111111</v>
      </c>
      <c r="L19">
        <v>960</v>
      </c>
      <c r="M19">
        <v>960</v>
      </c>
      <c r="N19" s="2">
        <f t="shared" si="6"/>
        <v>1920</v>
      </c>
      <c r="O19" s="2">
        <f t="shared" si="7"/>
        <v>15360</v>
      </c>
      <c r="P19" s="2">
        <f t="shared" si="8"/>
        <v>4.2666666666666666</v>
      </c>
      <c r="Q19">
        <v>1120</v>
      </c>
      <c r="R19">
        <v>1120</v>
      </c>
      <c r="S19" s="2">
        <f t="shared" si="9"/>
        <v>2240</v>
      </c>
      <c r="T19" s="2">
        <f t="shared" si="10"/>
        <v>17920</v>
      </c>
      <c r="U19" s="2">
        <f t="shared" si="11"/>
        <v>4.9777777777777779</v>
      </c>
      <c r="V19">
        <v>1120</v>
      </c>
      <c r="W19">
        <v>1120</v>
      </c>
      <c r="X19" s="2">
        <f t="shared" si="12"/>
        <v>2240</v>
      </c>
      <c r="Y19" s="2">
        <f t="shared" si="13"/>
        <v>17920</v>
      </c>
      <c r="Z19" s="2">
        <f t="shared" si="14"/>
        <v>4.9777777777777779</v>
      </c>
      <c r="AA19">
        <v>1040</v>
      </c>
      <c r="AB19">
        <v>1040</v>
      </c>
      <c r="AC19" s="2">
        <f t="shared" si="15"/>
        <v>2080</v>
      </c>
      <c r="AD19" s="2">
        <f t="shared" si="16"/>
        <v>16640</v>
      </c>
      <c r="AE19" s="2">
        <f t="shared" si="17"/>
        <v>4.6222222222222218</v>
      </c>
      <c r="AF19">
        <v>1120</v>
      </c>
      <c r="AG19">
        <v>1120</v>
      </c>
      <c r="AH19" s="2">
        <f t="shared" si="18"/>
        <v>2240</v>
      </c>
      <c r="AI19" s="2">
        <f t="shared" si="19"/>
        <v>17920</v>
      </c>
      <c r="AJ19" s="2">
        <f t="shared" si="20"/>
        <v>4.9777777777777779</v>
      </c>
      <c r="AK19">
        <v>1040</v>
      </c>
      <c r="AL19">
        <v>1040</v>
      </c>
      <c r="AM19" s="2">
        <f t="shared" si="21"/>
        <v>2080</v>
      </c>
      <c r="AN19" s="2">
        <f t="shared" si="22"/>
        <v>16640</v>
      </c>
      <c r="AO19" s="2">
        <f t="shared" si="23"/>
        <v>4.6222222222222218</v>
      </c>
      <c r="AP19">
        <v>960</v>
      </c>
      <c r="AQ19">
        <v>960</v>
      </c>
      <c r="AR19" s="2">
        <f t="shared" si="24"/>
        <v>1920</v>
      </c>
      <c r="AS19" s="2">
        <f t="shared" si="25"/>
        <v>15360</v>
      </c>
      <c r="AT19" s="2">
        <f t="shared" si="26"/>
        <v>4.2666666666666666</v>
      </c>
      <c r="AU19">
        <v>1200</v>
      </c>
      <c r="AV19">
        <v>1200</v>
      </c>
      <c r="AW19" s="2">
        <f t="shared" si="27"/>
        <v>2400</v>
      </c>
      <c r="AX19" s="2">
        <f t="shared" si="28"/>
        <v>19200</v>
      </c>
      <c r="AY19" s="2">
        <f t="shared" si="29"/>
        <v>5.333333333333333</v>
      </c>
    </row>
    <row r="20" spans="1:51" x14ac:dyDescent="0.3">
      <c r="A20" s="2" t="s">
        <v>24</v>
      </c>
      <c r="B20" s="2">
        <v>1120</v>
      </c>
      <c r="C20" s="2">
        <v>1120</v>
      </c>
      <c r="D20" s="2">
        <f t="shared" si="0"/>
        <v>2240</v>
      </c>
      <c r="E20" s="2">
        <f t="shared" si="1"/>
        <v>17920</v>
      </c>
      <c r="F20" s="2">
        <f t="shared" si="2"/>
        <v>4.9777777777777779</v>
      </c>
      <c r="G20">
        <v>1040</v>
      </c>
      <c r="H20">
        <v>1040</v>
      </c>
      <c r="I20" s="2">
        <f t="shared" si="3"/>
        <v>2080</v>
      </c>
      <c r="J20" s="2">
        <f t="shared" si="4"/>
        <v>16640</v>
      </c>
      <c r="K20" s="2">
        <f t="shared" si="5"/>
        <v>4.6222222222222218</v>
      </c>
      <c r="L20">
        <v>880</v>
      </c>
      <c r="M20">
        <v>880</v>
      </c>
      <c r="N20" s="2">
        <f t="shared" si="6"/>
        <v>1760</v>
      </c>
      <c r="O20" s="2">
        <f t="shared" si="7"/>
        <v>14080</v>
      </c>
      <c r="P20" s="2">
        <f t="shared" si="8"/>
        <v>3.911111111111111</v>
      </c>
      <c r="Q20">
        <v>1040</v>
      </c>
      <c r="R20">
        <v>1040</v>
      </c>
      <c r="S20" s="2">
        <f t="shared" si="9"/>
        <v>2080</v>
      </c>
      <c r="T20" s="2">
        <f t="shared" si="10"/>
        <v>16640</v>
      </c>
      <c r="U20" s="2">
        <f t="shared" si="11"/>
        <v>4.6222222222222218</v>
      </c>
      <c r="V20">
        <v>1040</v>
      </c>
      <c r="W20">
        <v>1040</v>
      </c>
      <c r="X20" s="2">
        <f t="shared" si="12"/>
        <v>2080</v>
      </c>
      <c r="Y20" s="2">
        <f t="shared" si="13"/>
        <v>16640</v>
      </c>
      <c r="Z20" s="2">
        <f t="shared" si="14"/>
        <v>4.6222222222222218</v>
      </c>
      <c r="AA20">
        <v>1200</v>
      </c>
      <c r="AB20">
        <v>1200</v>
      </c>
      <c r="AC20" s="2">
        <f t="shared" si="15"/>
        <v>2400</v>
      </c>
      <c r="AD20" s="2">
        <f t="shared" si="16"/>
        <v>19200</v>
      </c>
      <c r="AE20" s="2">
        <f t="shared" si="17"/>
        <v>5.333333333333333</v>
      </c>
      <c r="AF20">
        <v>1120</v>
      </c>
      <c r="AG20">
        <v>1120</v>
      </c>
      <c r="AH20" s="2">
        <f t="shared" si="18"/>
        <v>2240</v>
      </c>
      <c r="AI20" s="2">
        <f t="shared" si="19"/>
        <v>17920</v>
      </c>
      <c r="AJ20" s="2">
        <f t="shared" si="20"/>
        <v>4.9777777777777779</v>
      </c>
      <c r="AK20">
        <v>1120</v>
      </c>
      <c r="AL20">
        <v>1120</v>
      </c>
      <c r="AM20" s="2">
        <f t="shared" si="21"/>
        <v>2240</v>
      </c>
      <c r="AN20" s="2">
        <f t="shared" si="22"/>
        <v>17920</v>
      </c>
      <c r="AO20" s="2">
        <f t="shared" si="23"/>
        <v>4.9777777777777779</v>
      </c>
      <c r="AP20">
        <v>1280</v>
      </c>
      <c r="AQ20">
        <v>1280</v>
      </c>
      <c r="AR20" s="2">
        <f t="shared" si="24"/>
        <v>2560</v>
      </c>
      <c r="AS20" s="2">
        <f t="shared" si="25"/>
        <v>20480</v>
      </c>
      <c r="AT20" s="2">
        <f t="shared" si="26"/>
        <v>5.6888888888888891</v>
      </c>
      <c r="AU20">
        <v>1040</v>
      </c>
      <c r="AV20">
        <v>1040</v>
      </c>
      <c r="AW20" s="2">
        <f t="shared" si="27"/>
        <v>2080</v>
      </c>
      <c r="AX20" s="2">
        <f t="shared" si="28"/>
        <v>16640</v>
      </c>
      <c r="AY20" s="2">
        <f t="shared" si="29"/>
        <v>4.6222222222222218</v>
      </c>
    </row>
    <row r="21" spans="1:51" x14ac:dyDescent="0.3">
      <c r="A21" s="2" t="s">
        <v>25</v>
      </c>
      <c r="B21" s="2">
        <v>1040</v>
      </c>
      <c r="C21" s="2">
        <v>1040</v>
      </c>
      <c r="D21" s="2">
        <f t="shared" si="0"/>
        <v>2080</v>
      </c>
      <c r="E21" s="2">
        <f t="shared" si="1"/>
        <v>16640</v>
      </c>
      <c r="F21" s="2">
        <f t="shared" si="2"/>
        <v>4.6222222222222218</v>
      </c>
      <c r="G21">
        <v>1040</v>
      </c>
      <c r="H21">
        <v>1040</v>
      </c>
      <c r="I21" s="2">
        <f t="shared" si="3"/>
        <v>2080</v>
      </c>
      <c r="J21" s="2">
        <f t="shared" si="4"/>
        <v>16640</v>
      </c>
      <c r="K21" s="2">
        <f t="shared" si="5"/>
        <v>4.6222222222222218</v>
      </c>
      <c r="L21">
        <v>1040</v>
      </c>
      <c r="M21">
        <v>1040</v>
      </c>
      <c r="N21" s="2">
        <f t="shared" si="6"/>
        <v>2080</v>
      </c>
      <c r="O21" s="2">
        <f t="shared" si="7"/>
        <v>16640</v>
      </c>
      <c r="P21" s="2">
        <f t="shared" si="8"/>
        <v>4.6222222222222218</v>
      </c>
      <c r="Q21">
        <v>1040</v>
      </c>
      <c r="R21">
        <v>1040</v>
      </c>
      <c r="S21" s="2">
        <f t="shared" si="9"/>
        <v>2080</v>
      </c>
      <c r="T21" s="2">
        <f t="shared" si="10"/>
        <v>16640</v>
      </c>
      <c r="U21" s="2">
        <f t="shared" si="11"/>
        <v>4.6222222222222218</v>
      </c>
      <c r="V21">
        <v>1040</v>
      </c>
      <c r="W21">
        <v>1040</v>
      </c>
      <c r="X21" s="2">
        <f t="shared" si="12"/>
        <v>2080</v>
      </c>
      <c r="Y21" s="2">
        <f t="shared" si="13"/>
        <v>16640</v>
      </c>
      <c r="Z21" s="2">
        <f t="shared" si="14"/>
        <v>4.6222222222222218</v>
      </c>
      <c r="AA21">
        <v>1200</v>
      </c>
      <c r="AB21">
        <v>1200</v>
      </c>
      <c r="AC21" s="2">
        <f t="shared" si="15"/>
        <v>2400</v>
      </c>
      <c r="AD21" s="2">
        <f t="shared" si="16"/>
        <v>19200</v>
      </c>
      <c r="AE21" s="2">
        <f t="shared" si="17"/>
        <v>5.333333333333333</v>
      </c>
      <c r="AF21">
        <v>1120</v>
      </c>
      <c r="AG21">
        <v>1120</v>
      </c>
      <c r="AH21" s="2">
        <f t="shared" si="18"/>
        <v>2240</v>
      </c>
      <c r="AI21" s="2">
        <f t="shared" si="19"/>
        <v>17920</v>
      </c>
      <c r="AJ21" s="2">
        <f t="shared" si="20"/>
        <v>4.9777777777777779</v>
      </c>
      <c r="AK21">
        <v>1040</v>
      </c>
      <c r="AL21">
        <v>1040</v>
      </c>
      <c r="AM21" s="2">
        <f t="shared" si="21"/>
        <v>2080</v>
      </c>
      <c r="AN21" s="2">
        <f t="shared" si="22"/>
        <v>16640</v>
      </c>
      <c r="AO21" s="2">
        <f t="shared" si="23"/>
        <v>4.6222222222222218</v>
      </c>
      <c r="AP21">
        <v>1040</v>
      </c>
      <c r="AQ21">
        <v>1040</v>
      </c>
      <c r="AR21" s="2">
        <f t="shared" si="24"/>
        <v>2080</v>
      </c>
      <c r="AS21" s="2">
        <f t="shared" si="25"/>
        <v>16640</v>
      </c>
      <c r="AT21" s="2">
        <f t="shared" si="26"/>
        <v>4.6222222222222218</v>
      </c>
      <c r="AU21">
        <v>1120</v>
      </c>
      <c r="AV21">
        <v>1120</v>
      </c>
      <c r="AW21" s="2">
        <f t="shared" si="27"/>
        <v>2240</v>
      </c>
      <c r="AX21" s="2">
        <f t="shared" si="28"/>
        <v>17920</v>
      </c>
      <c r="AY21" s="2">
        <f t="shared" si="29"/>
        <v>4.9777777777777779</v>
      </c>
    </row>
    <row r="22" spans="1:51" x14ac:dyDescent="0.3">
      <c r="A22" s="2" t="s">
        <v>26</v>
      </c>
      <c r="B22" s="2">
        <v>1040</v>
      </c>
      <c r="C22" s="2">
        <v>1040</v>
      </c>
      <c r="D22" s="2">
        <f t="shared" si="0"/>
        <v>2080</v>
      </c>
      <c r="E22" s="2">
        <f t="shared" si="1"/>
        <v>16640</v>
      </c>
      <c r="F22" s="2">
        <f t="shared" si="2"/>
        <v>4.6222222222222218</v>
      </c>
      <c r="G22">
        <v>960</v>
      </c>
      <c r="H22">
        <v>960</v>
      </c>
      <c r="I22" s="2">
        <f t="shared" si="3"/>
        <v>1920</v>
      </c>
      <c r="J22" s="2">
        <f t="shared" si="4"/>
        <v>15360</v>
      </c>
      <c r="K22" s="2">
        <f t="shared" si="5"/>
        <v>4.2666666666666666</v>
      </c>
      <c r="L22">
        <v>1120</v>
      </c>
      <c r="M22">
        <v>1120</v>
      </c>
      <c r="N22" s="2">
        <f t="shared" si="6"/>
        <v>2240</v>
      </c>
      <c r="O22" s="2">
        <f t="shared" si="7"/>
        <v>17920</v>
      </c>
      <c r="P22" s="2">
        <f t="shared" si="8"/>
        <v>4.9777777777777779</v>
      </c>
      <c r="Q22">
        <v>960</v>
      </c>
      <c r="R22">
        <v>960</v>
      </c>
      <c r="S22" s="2">
        <f t="shared" si="9"/>
        <v>1920</v>
      </c>
      <c r="T22" s="2">
        <f t="shared" si="10"/>
        <v>15360</v>
      </c>
      <c r="U22" s="2">
        <f t="shared" si="11"/>
        <v>4.2666666666666666</v>
      </c>
      <c r="V22">
        <v>960</v>
      </c>
      <c r="W22">
        <v>960</v>
      </c>
      <c r="X22" s="2">
        <f t="shared" si="12"/>
        <v>1920</v>
      </c>
      <c r="Y22" s="2">
        <f t="shared" si="13"/>
        <v>15360</v>
      </c>
      <c r="Z22" s="2">
        <f t="shared" si="14"/>
        <v>4.2666666666666666</v>
      </c>
      <c r="AA22">
        <v>960</v>
      </c>
      <c r="AB22">
        <v>960</v>
      </c>
      <c r="AC22" s="2">
        <f t="shared" si="15"/>
        <v>1920</v>
      </c>
      <c r="AD22" s="2">
        <f t="shared" si="16"/>
        <v>15360</v>
      </c>
      <c r="AE22" s="2">
        <f t="shared" si="17"/>
        <v>4.2666666666666666</v>
      </c>
      <c r="AF22">
        <v>1120</v>
      </c>
      <c r="AG22">
        <v>1120</v>
      </c>
      <c r="AH22" s="2">
        <f t="shared" si="18"/>
        <v>2240</v>
      </c>
      <c r="AI22" s="2">
        <f t="shared" si="19"/>
        <v>17920</v>
      </c>
      <c r="AJ22" s="2">
        <f t="shared" si="20"/>
        <v>4.9777777777777779</v>
      </c>
      <c r="AK22">
        <v>1040</v>
      </c>
      <c r="AL22">
        <v>1040</v>
      </c>
      <c r="AM22" s="2">
        <f t="shared" si="21"/>
        <v>2080</v>
      </c>
      <c r="AN22" s="2">
        <f t="shared" si="22"/>
        <v>16640</v>
      </c>
      <c r="AO22" s="2">
        <f t="shared" si="23"/>
        <v>4.6222222222222218</v>
      </c>
      <c r="AP22">
        <v>800</v>
      </c>
      <c r="AQ22">
        <v>800</v>
      </c>
      <c r="AR22" s="2">
        <f t="shared" si="24"/>
        <v>1600</v>
      </c>
      <c r="AS22" s="2">
        <f t="shared" si="25"/>
        <v>12800</v>
      </c>
      <c r="AT22" s="2">
        <f t="shared" si="26"/>
        <v>3.5555555555555554</v>
      </c>
      <c r="AU22">
        <v>1120</v>
      </c>
      <c r="AV22">
        <v>1120</v>
      </c>
      <c r="AW22" s="2">
        <f t="shared" si="27"/>
        <v>2240</v>
      </c>
      <c r="AX22" s="2">
        <f t="shared" si="28"/>
        <v>17920</v>
      </c>
      <c r="AY22" s="2">
        <f t="shared" si="29"/>
        <v>4.9777777777777779</v>
      </c>
    </row>
    <row r="23" spans="1:51" x14ac:dyDescent="0.3">
      <c r="A23" s="2" t="s">
        <v>27</v>
      </c>
      <c r="B23" s="2">
        <v>1040</v>
      </c>
      <c r="C23" s="2">
        <v>1040</v>
      </c>
      <c r="D23" s="2">
        <f t="shared" si="0"/>
        <v>2080</v>
      </c>
      <c r="E23" s="2">
        <f t="shared" si="1"/>
        <v>16640</v>
      </c>
      <c r="F23" s="2">
        <f t="shared" si="2"/>
        <v>4.6222222222222218</v>
      </c>
      <c r="G23">
        <v>1040</v>
      </c>
      <c r="H23">
        <v>1040</v>
      </c>
      <c r="I23" s="2">
        <f t="shared" si="3"/>
        <v>2080</v>
      </c>
      <c r="J23" s="2">
        <f t="shared" si="4"/>
        <v>16640</v>
      </c>
      <c r="K23" s="2">
        <f t="shared" si="5"/>
        <v>4.6222222222222218</v>
      </c>
      <c r="L23">
        <v>1200</v>
      </c>
      <c r="M23">
        <v>1200</v>
      </c>
      <c r="N23" s="2">
        <f t="shared" si="6"/>
        <v>2400</v>
      </c>
      <c r="O23" s="2">
        <f t="shared" si="7"/>
        <v>19200</v>
      </c>
      <c r="P23" s="2">
        <f t="shared" si="8"/>
        <v>5.333333333333333</v>
      </c>
      <c r="Q23">
        <v>1040</v>
      </c>
      <c r="R23">
        <v>1040</v>
      </c>
      <c r="S23" s="2">
        <f t="shared" si="9"/>
        <v>2080</v>
      </c>
      <c r="T23" s="2">
        <f t="shared" si="10"/>
        <v>16640</v>
      </c>
      <c r="U23" s="2">
        <f t="shared" si="11"/>
        <v>4.6222222222222218</v>
      </c>
      <c r="V23">
        <v>1040</v>
      </c>
      <c r="W23">
        <v>1040</v>
      </c>
      <c r="X23" s="2">
        <f t="shared" si="12"/>
        <v>2080</v>
      </c>
      <c r="Y23" s="2">
        <f t="shared" si="13"/>
        <v>16640</v>
      </c>
      <c r="Z23" s="2">
        <f t="shared" si="14"/>
        <v>4.6222222222222218</v>
      </c>
      <c r="AA23">
        <v>1040</v>
      </c>
      <c r="AB23">
        <v>1040</v>
      </c>
      <c r="AC23" s="2">
        <f t="shared" si="15"/>
        <v>2080</v>
      </c>
      <c r="AD23" s="2">
        <f t="shared" si="16"/>
        <v>16640</v>
      </c>
      <c r="AE23" s="2">
        <f t="shared" si="17"/>
        <v>4.6222222222222218</v>
      </c>
      <c r="AF23">
        <v>1200</v>
      </c>
      <c r="AG23">
        <v>1200</v>
      </c>
      <c r="AH23" s="2">
        <f t="shared" si="18"/>
        <v>2400</v>
      </c>
      <c r="AI23" s="2">
        <f t="shared" si="19"/>
        <v>19200</v>
      </c>
      <c r="AJ23" s="2">
        <f t="shared" si="20"/>
        <v>5.333333333333333</v>
      </c>
      <c r="AK23">
        <v>1040</v>
      </c>
      <c r="AL23">
        <v>1040</v>
      </c>
      <c r="AM23" s="2">
        <f t="shared" si="21"/>
        <v>2080</v>
      </c>
      <c r="AN23" s="2">
        <f t="shared" si="22"/>
        <v>16640</v>
      </c>
      <c r="AO23" s="2">
        <f t="shared" si="23"/>
        <v>4.6222222222222218</v>
      </c>
      <c r="AP23">
        <v>1200</v>
      </c>
      <c r="AQ23">
        <v>1200</v>
      </c>
      <c r="AR23" s="2">
        <f t="shared" si="24"/>
        <v>2400</v>
      </c>
      <c r="AS23" s="2">
        <f t="shared" si="25"/>
        <v>19200</v>
      </c>
      <c r="AT23" s="2">
        <f t="shared" si="26"/>
        <v>5.333333333333333</v>
      </c>
      <c r="AU23">
        <v>1120</v>
      </c>
      <c r="AV23">
        <v>1120</v>
      </c>
      <c r="AW23" s="2">
        <f t="shared" si="27"/>
        <v>2240</v>
      </c>
      <c r="AX23" s="2">
        <f t="shared" si="28"/>
        <v>17920</v>
      </c>
      <c r="AY23" s="2">
        <f t="shared" si="29"/>
        <v>4.9777777777777779</v>
      </c>
    </row>
    <row r="24" spans="1:51" x14ac:dyDescent="0.3">
      <c r="A24" s="2" t="s">
        <v>28</v>
      </c>
      <c r="B24" s="2">
        <v>1120</v>
      </c>
      <c r="C24" s="2">
        <v>1120</v>
      </c>
      <c r="D24" s="2">
        <f t="shared" si="0"/>
        <v>2240</v>
      </c>
      <c r="E24" s="2">
        <f t="shared" si="1"/>
        <v>17920</v>
      </c>
      <c r="F24" s="2">
        <f t="shared" si="2"/>
        <v>4.9777777777777779</v>
      </c>
      <c r="G24">
        <v>960</v>
      </c>
      <c r="H24">
        <v>960</v>
      </c>
      <c r="I24" s="2">
        <f t="shared" si="3"/>
        <v>1920</v>
      </c>
      <c r="J24" s="2">
        <f t="shared" si="4"/>
        <v>15360</v>
      </c>
      <c r="K24" s="2">
        <f t="shared" si="5"/>
        <v>4.2666666666666666</v>
      </c>
      <c r="L24">
        <v>880</v>
      </c>
      <c r="M24">
        <v>880</v>
      </c>
      <c r="N24" s="2">
        <f t="shared" si="6"/>
        <v>1760</v>
      </c>
      <c r="O24" s="2">
        <f t="shared" si="7"/>
        <v>14080</v>
      </c>
      <c r="P24" s="2">
        <f t="shared" si="8"/>
        <v>3.911111111111111</v>
      </c>
      <c r="Q24">
        <v>880</v>
      </c>
      <c r="R24">
        <v>880</v>
      </c>
      <c r="S24" s="2">
        <f t="shared" si="9"/>
        <v>1760</v>
      </c>
      <c r="T24" s="2">
        <f t="shared" si="10"/>
        <v>14080</v>
      </c>
      <c r="U24" s="2">
        <f t="shared" si="11"/>
        <v>3.911111111111111</v>
      </c>
      <c r="V24">
        <v>880</v>
      </c>
      <c r="W24">
        <v>880</v>
      </c>
      <c r="X24" s="2">
        <f t="shared" si="12"/>
        <v>1760</v>
      </c>
      <c r="Y24" s="2">
        <f t="shared" si="13"/>
        <v>14080</v>
      </c>
      <c r="Z24" s="2">
        <f t="shared" si="14"/>
        <v>3.911111111111111</v>
      </c>
      <c r="AA24">
        <v>1120</v>
      </c>
      <c r="AB24">
        <v>1120</v>
      </c>
      <c r="AC24" s="2">
        <f t="shared" si="15"/>
        <v>2240</v>
      </c>
      <c r="AD24" s="2">
        <f t="shared" si="16"/>
        <v>17920</v>
      </c>
      <c r="AE24" s="2">
        <f t="shared" si="17"/>
        <v>4.9777777777777779</v>
      </c>
      <c r="AF24">
        <v>1040</v>
      </c>
      <c r="AG24">
        <v>1040</v>
      </c>
      <c r="AH24" s="2">
        <f t="shared" si="18"/>
        <v>2080</v>
      </c>
      <c r="AI24" s="2">
        <f t="shared" si="19"/>
        <v>16640</v>
      </c>
      <c r="AJ24" s="2">
        <f t="shared" si="20"/>
        <v>4.6222222222222218</v>
      </c>
      <c r="AK24">
        <v>1200</v>
      </c>
      <c r="AL24">
        <v>1200</v>
      </c>
      <c r="AM24" s="2">
        <f t="shared" si="21"/>
        <v>2400</v>
      </c>
      <c r="AN24" s="2">
        <f t="shared" si="22"/>
        <v>19200</v>
      </c>
      <c r="AO24" s="2">
        <f t="shared" si="23"/>
        <v>5.333333333333333</v>
      </c>
      <c r="AP24">
        <v>1280</v>
      </c>
      <c r="AQ24">
        <v>1280</v>
      </c>
      <c r="AR24" s="2">
        <f t="shared" si="24"/>
        <v>2560</v>
      </c>
      <c r="AS24" s="2">
        <f t="shared" si="25"/>
        <v>20480</v>
      </c>
      <c r="AT24" s="2">
        <f t="shared" si="26"/>
        <v>5.6888888888888891</v>
      </c>
      <c r="AU24">
        <v>960</v>
      </c>
      <c r="AV24">
        <v>960</v>
      </c>
      <c r="AW24" s="2">
        <f t="shared" si="27"/>
        <v>1920</v>
      </c>
      <c r="AX24" s="2">
        <f t="shared" si="28"/>
        <v>15360</v>
      </c>
      <c r="AY24" s="2">
        <f t="shared" si="29"/>
        <v>4.2666666666666666</v>
      </c>
    </row>
    <row r="25" spans="1:51" x14ac:dyDescent="0.3">
      <c r="A25" s="2" t="s">
        <v>29</v>
      </c>
      <c r="B25" s="2">
        <v>800</v>
      </c>
      <c r="C25" s="2">
        <v>800</v>
      </c>
      <c r="D25" s="2">
        <f t="shared" si="0"/>
        <v>1600</v>
      </c>
      <c r="E25" s="2">
        <f t="shared" si="1"/>
        <v>12800</v>
      </c>
      <c r="F25" s="2">
        <f t="shared" si="2"/>
        <v>3.5555555555555554</v>
      </c>
      <c r="G25">
        <v>960</v>
      </c>
      <c r="H25">
        <v>960</v>
      </c>
      <c r="I25" s="2">
        <f t="shared" si="3"/>
        <v>1920</v>
      </c>
      <c r="J25" s="2">
        <f t="shared" si="4"/>
        <v>15360</v>
      </c>
      <c r="K25" s="2">
        <f t="shared" si="5"/>
        <v>4.2666666666666666</v>
      </c>
      <c r="L25">
        <v>1200</v>
      </c>
      <c r="M25">
        <v>1200</v>
      </c>
      <c r="N25" s="2">
        <f t="shared" si="6"/>
        <v>2400</v>
      </c>
      <c r="O25" s="2">
        <f t="shared" si="7"/>
        <v>19200</v>
      </c>
      <c r="P25" s="2">
        <f t="shared" si="8"/>
        <v>5.333333333333333</v>
      </c>
      <c r="Q25">
        <v>1200</v>
      </c>
      <c r="R25">
        <v>1200</v>
      </c>
      <c r="S25" s="2">
        <f t="shared" si="9"/>
        <v>2400</v>
      </c>
      <c r="T25" s="2">
        <f t="shared" si="10"/>
        <v>19200</v>
      </c>
      <c r="U25" s="2">
        <f t="shared" si="11"/>
        <v>5.333333333333333</v>
      </c>
      <c r="V25">
        <v>1200</v>
      </c>
      <c r="W25">
        <v>1200</v>
      </c>
      <c r="X25" s="2">
        <f t="shared" si="12"/>
        <v>2400</v>
      </c>
      <c r="Y25" s="2">
        <f t="shared" si="13"/>
        <v>19200</v>
      </c>
      <c r="Z25" s="2">
        <f t="shared" si="14"/>
        <v>5.333333333333333</v>
      </c>
      <c r="AA25">
        <v>1040</v>
      </c>
      <c r="AB25">
        <v>1040</v>
      </c>
      <c r="AC25" s="2">
        <f t="shared" si="15"/>
        <v>2080</v>
      </c>
      <c r="AD25" s="2">
        <f t="shared" si="16"/>
        <v>16640</v>
      </c>
      <c r="AE25" s="2">
        <f t="shared" si="17"/>
        <v>4.6222222222222218</v>
      </c>
      <c r="AF25">
        <v>1040</v>
      </c>
      <c r="AG25">
        <v>1040</v>
      </c>
      <c r="AH25" s="2">
        <f t="shared" si="18"/>
        <v>2080</v>
      </c>
      <c r="AI25" s="2">
        <f t="shared" si="19"/>
        <v>16640</v>
      </c>
      <c r="AJ25" s="2">
        <f t="shared" si="20"/>
        <v>4.6222222222222218</v>
      </c>
      <c r="AK25">
        <v>800</v>
      </c>
      <c r="AL25">
        <v>800</v>
      </c>
      <c r="AM25" s="2">
        <f t="shared" si="21"/>
        <v>1600</v>
      </c>
      <c r="AN25" s="2">
        <f t="shared" si="22"/>
        <v>12800</v>
      </c>
      <c r="AO25" s="2">
        <f t="shared" si="23"/>
        <v>3.5555555555555554</v>
      </c>
      <c r="AP25">
        <v>880</v>
      </c>
      <c r="AQ25">
        <v>880</v>
      </c>
      <c r="AR25" s="2">
        <f t="shared" si="24"/>
        <v>1760</v>
      </c>
      <c r="AS25" s="2">
        <f t="shared" si="25"/>
        <v>14080</v>
      </c>
      <c r="AT25" s="2">
        <f t="shared" si="26"/>
        <v>3.911111111111111</v>
      </c>
      <c r="AU25">
        <v>1120</v>
      </c>
      <c r="AV25">
        <v>1120</v>
      </c>
      <c r="AW25" s="2">
        <f t="shared" si="27"/>
        <v>2240</v>
      </c>
      <c r="AX25" s="2">
        <f t="shared" si="28"/>
        <v>17920</v>
      </c>
      <c r="AY25" s="2">
        <f t="shared" si="29"/>
        <v>4.9777777777777779</v>
      </c>
    </row>
    <row r="26" spans="1:51" x14ac:dyDescent="0.3">
      <c r="A26" s="2" t="s">
        <v>30</v>
      </c>
      <c r="B26" s="2">
        <v>1120</v>
      </c>
      <c r="C26" s="2">
        <v>1120</v>
      </c>
      <c r="D26" s="2">
        <f t="shared" si="0"/>
        <v>2240</v>
      </c>
      <c r="E26" s="2">
        <f t="shared" si="1"/>
        <v>17920</v>
      </c>
      <c r="F26" s="2">
        <f t="shared" si="2"/>
        <v>4.9777777777777779</v>
      </c>
      <c r="G26">
        <v>1040</v>
      </c>
      <c r="H26">
        <v>1040</v>
      </c>
      <c r="I26" s="2">
        <f t="shared" si="3"/>
        <v>2080</v>
      </c>
      <c r="J26" s="2">
        <f t="shared" si="4"/>
        <v>16640</v>
      </c>
      <c r="K26" s="2">
        <f t="shared" si="5"/>
        <v>4.6222222222222218</v>
      </c>
      <c r="L26">
        <v>960</v>
      </c>
      <c r="M26">
        <v>960</v>
      </c>
      <c r="N26" s="2">
        <f t="shared" si="6"/>
        <v>1920</v>
      </c>
      <c r="O26" s="2">
        <f t="shared" si="7"/>
        <v>15360</v>
      </c>
      <c r="P26" s="2">
        <f t="shared" si="8"/>
        <v>4.2666666666666666</v>
      </c>
      <c r="Q26">
        <v>1040</v>
      </c>
      <c r="R26">
        <v>1040</v>
      </c>
      <c r="S26" s="2">
        <f t="shared" si="9"/>
        <v>2080</v>
      </c>
      <c r="T26" s="2">
        <f t="shared" si="10"/>
        <v>16640</v>
      </c>
      <c r="U26" s="2">
        <f t="shared" si="11"/>
        <v>4.6222222222222218</v>
      </c>
      <c r="V26">
        <v>1040</v>
      </c>
      <c r="W26">
        <v>1040</v>
      </c>
      <c r="X26" s="2">
        <f t="shared" si="12"/>
        <v>2080</v>
      </c>
      <c r="Y26" s="2">
        <f t="shared" si="13"/>
        <v>16640</v>
      </c>
      <c r="Z26" s="2">
        <f t="shared" si="14"/>
        <v>4.6222222222222218</v>
      </c>
      <c r="AA26">
        <v>960</v>
      </c>
      <c r="AB26">
        <v>960</v>
      </c>
      <c r="AC26" s="2">
        <f t="shared" si="15"/>
        <v>1920</v>
      </c>
      <c r="AD26" s="2">
        <f t="shared" si="16"/>
        <v>15360</v>
      </c>
      <c r="AE26" s="2">
        <f t="shared" si="17"/>
        <v>4.2666666666666666</v>
      </c>
      <c r="AF26">
        <v>1120</v>
      </c>
      <c r="AG26">
        <v>1120</v>
      </c>
      <c r="AH26" s="2">
        <f t="shared" si="18"/>
        <v>2240</v>
      </c>
      <c r="AI26" s="2">
        <f t="shared" si="19"/>
        <v>17920</v>
      </c>
      <c r="AJ26" s="2">
        <f t="shared" si="20"/>
        <v>4.9777777777777779</v>
      </c>
      <c r="AK26">
        <v>960</v>
      </c>
      <c r="AL26">
        <v>960</v>
      </c>
      <c r="AM26" s="2">
        <f t="shared" si="21"/>
        <v>1920</v>
      </c>
      <c r="AN26" s="2">
        <f t="shared" si="22"/>
        <v>15360</v>
      </c>
      <c r="AO26" s="2">
        <f t="shared" si="23"/>
        <v>4.2666666666666666</v>
      </c>
      <c r="AP26">
        <v>960</v>
      </c>
      <c r="AQ26">
        <v>960</v>
      </c>
      <c r="AR26" s="2">
        <f t="shared" si="24"/>
        <v>1920</v>
      </c>
      <c r="AS26" s="2">
        <f t="shared" si="25"/>
        <v>15360</v>
      </c>
      <c r="AT26" s="2">
        <f t="shared" si="26"/>
        <v>4.2666666666666666</v>
      </c>
      <c r="AU26">
        <v>960</v>
      </c>
      <c r="AV26">
        <v>960</v>
      </c>
      <c r="AW26" s="2">
        <f t="shared" si="27"/>
        <v>1920</v>
      </c>
      <c r="AX26" s="2">
        <f t="shared" si="28"/>
        <v>15360</v>
      </c>
      <c r="AY26" s="2">
        <f t="shared" si="29"/>
        <v>4.2666666666666666</v>
      </c>
    </row>
    <row r="27" spans="1:51" x14ac:dyDescent="0.3">
      <c r="A27" s="2" t="s">
        <v>31</v>
      </c>
      <c r="B27" s="2">
        <v>960</v>
      </c>
      <c r="C27" s="2">
        <v>960</v>
      </c>
      <c r="D27" s="2">
        <f t="shared" si="0"/>
        <v>1920</v>
      </c>
      <c r="E27" s="2">
        <f t="shared" si="1"/>
        <v>15360</v>
      </c>
      <c r="F27" s="2">
        <f t="shared" si="2"/>
        <v>4.2666666666666666</v>
      </c>
      <c r="G27">
        <v>880</v>
      </c>
      <c r="H27">
        <v>880</v>
      </c>
      <c r="I27" s="2">
        <f t="shared" si="3"/>
        <v>1760</v>
      </c>
      <c r="J27" s="2">
        <f t="shared" si="4"/>
        <v>14080</v>
      </c>
      <c r="K27" s="2">
        <f t="shared" si="5"/>
        <v>3.911111111111111</v>
      </c>
      <c r="L27">
        <v>720</v>
      </c>
      <c r="M27">
        <v>720</v>
      </c>
      <c r="N27" s="2">
        <f t="shared" si="6"/>
        <v>1440</v>
      </c>
      <c r="O27" s="2">
        <f t="shared" si="7"/>
        <v>11520</v>
      </c>
      <c r="P27" s="2">
        <f t="shared" si="8"/>
        <v>3.2</v>
      </c>
      <c r="Q27">
        <v>960</v>
      </c>
      <c r="R27">
        <v>960</v>
      </c>
      <c r="S27" s="2">
        <f t="shared" si="9"/>
        <v>1920</v>
      </c>
      <c r="T27" s="2">
        <f t="shared" si="10"/>
        <v>15360</v>
      </c>
      <c r="U27" s="2">
        <f t="shared" si="11"/>
        <v>4.2666666666666666</v>
      </c>
      <c r="V27">
        <v>960</v>
      </c>
      <c r="W27">
        <v>960</v>
      </c>
      <c r="X27" s="2">
        <f t="shared" si="12"/>
        <v>1920</v>
      </c>
      <c r="Y27" s="2">
        <f t="shared" si="13"/>
        <v>15360</v>
      </c>
      <c r="Z27" s="2">
        <f t="shared" si="14"/>
        <v>4.2666666666666666</v>
      </c>
      <c r="AA27">
        <v>1040</v>
      </c>
      <c r="AB27">
        <v>1040</v>
      </c>
      <c r="AC27" s="2">
        <f t="shared" si="15"/>
        <v>2080</v>
      </c>
      <c r="AD27" s="2">
        <f t="shared" si="16"/>
        <v>16640</v>
      </c>
      <c r="AE27" s="2">
        <f t="shared" si="17"/>
        <v>4.6222222222222218</v>
      </c>
      <c r="AF27">
        <v>960</v>
      </c>
      <c r="AG27">
        <v>960</v>
      </c>
      <c r="AH27" s="2">
        <f t="shared" si="18"/>
        <v>1920</v>
      </c>
      <c r="AI27" s="2">
        <f t="shared" si="19"/>
        <v>15360</v>
      </c>
      <c r="AJ27" s="2">
        <f t="shared" si="20"/>
        <v>4.2666666666666666</v>
      </c>
      <c r="AK27">
        <v>880</v>
      </c>
      <c r="AL27">
        <v>880</v>
      </c>
      <c r="AM27" s="2">
        <f t="shared" si="21"/>
        <v>1760</v>
      </c>
      <c r="AN27" s="2">
        <f t="shared" si="22"/>
        <v>14080</v>
      </c>
      <c r="AO27" s="2">
        <f t="shared" si="23"/>
        <v>3.911111111111111</v>
      </c>
      <c r="AP27">
        <v>960</v>
      </c>
      <c r="AQ27">
        <v>960</v>
      </c>
      <c r="AR27" s="2">
        <f t="shared" si="24"/>
        <v>1920</v>
      </c>
      <c r="AS27" s="2">
        <f t="shared" si="25"/>
        <v>15360</v>
      </c>
      <c r="AT27" s="2">
        <f t="shared" si="26"/>
        <v>4.2666666666666666</v>
      </c>
      <c r="AU27">
        <v>1120</v>
      </c>
      <c r="AV27">
        <v>1120</v>
      </c>
      <c r="AW27" s="2">
        <f t="shared" si="27"/>
        <v>2240</v>
      </c>
      <c r="AX27" s="2">
        <f t="shared" si="28"/>
        <v>17920</v>
      </c>
      <c r="AY27" s="2">
        <f t="shared" si="29"/>
        <v>4.9777777777777779</v>
      </c>
    </row>
    <row r="28" spans="1:51" x14ac:dyDescent="0.3">
      <c r="A28" s="2" t="s">
        <v>32</v>
      </c>
      <c r="B28" s="2">
        <v>1040</v>
      </c>
      <c r="C28" s="2">
        <v>1040</v>
      </c>
      <c r="D28" s="2">
        <f t="shared" si="0"/>
        <v>2080</v>
      </c>
      <c r="E28" s="2">
        <f t="shared" si="1"/>
        <v>16640</v>
      </c>
      <c r="F28" s="2">
        <f t="shared" si="2"/>
        <v>4.6222222222222218</v>
      </c>
      <c r="G28">
        <v>960</v>
      </c>
      <c r="H28">
        <v>960</v>
      </c>
      <c r="I28" s="2">
        <f t="shared" si="3"/>
        <v>1920</v>
      </c>
      <c r="J28" s="2">
        <f t="shared" si="4"/>
        <v>15360</v>
      </c>
      <c r="K28" s="2">
        <f t="shared" si="5"/>
        <v>4.2666666666666666</v>
      </c>
      <c r="L28">
        <v>1120</v>
      </c>
      <c r="M28">
        <v>1120</v>
      </c>
      <c r="N28" s="2">
        <f t="shared" si="6"/>
        <v>2240</v>
      </c>
      <c r="O28" s="2">
        <f t="shared" si="7"/>
        <v>17920</v>
      </c>
      <c r="P28" s="2">
        <f t="shared" si="8"/>
        <v>4.9777777777777779</v>
      </c>
      <c r="Q28">
        <v>1200</v>
      </c>
      <c r="R28">
        <v>1200</v>
      </c>
      <c r="S28" s="2">
        <f t="shared" si="9"/>
        <v>2400</v>
      </c>
      <c r="T28" s="2">
        <f t="shared" si="10"/>
        <v>19200</v>
      </c>
      <c r="U28" s="2">
        <f t="shared" si="11"/>
        <v>5.333333333333333</v>
      </c>
      <c r="V28">
        <v>1200</v>
      </c>
      <c r="W28">
        <v>1200</v>
      </c>
      <c r="X28" s="2">
        <f t="shared" si="12"/>
        <v>2400</v>
      </c>
      <c r="Y28" s="2">
        <f t="shared" si="13"/>
        <v>19200</v>
      </c>
      <c r="Z28" s="2">
        <f t="shared" si="14"/>
        <v>5.333333333333333</v>
      </c>
      <c r="AA28">
        <v>1040</v>
      </c>
      <c r="AB28">
        <v>1040</v>
      </c>
      <c r="AC28" s="2">
        <f t="shared" si="15"/>
        <v>2080</v>
      </c>
      <c r="AD28" s="2">
        <f t="shared" si="16"/>
        <v>16640</v>
      </c>
      <c r="AE28" s="2">
        <f t="shared" si="17"/>
        <v>4.6222222222222218</v>
      </c>
      <c r="AF28">
        <v>1040</v>
      </c>
      <c r="AG28">
        <v>1040</v>
      </c>
      <c r="AH28" s="2">
        <f t="shared" si="18"/>
        <v>2080</v>
      </c>
      <c r="AI28" s="2">
        <f t="shared" si="19"/>
        <v>16640</v>
      </c>
      <c r="AJ28" s="2">
        <f t="shared" si="20"/>
        <v>4.6222222222222218</v>
      </c>
      <c r="AK28">
        <v>800</v>
      </c>
      <c r="AL28">
        <v>800</v>
      </c>
      <c r="AM28" s="2">
        <f t="shared" si="21"/>
        <v>1600</v>
      </c>
      <c r="AN28" s="2">
        <f t="shared" si="22"/>
        <v>12800</v>
      </c>
      <c r="AO28" s="2">
        <f t="shared" si="23"/>
        <v>3.5555555555555554</v>
      </c>
      <c r="AP28">
        <v>1040</v>
      </c>
      <c r="AQ28">
        <v>1040</v>
      </c>
      <c r="AR28" s="2">
        <f t="shared" si="24"/>
        <v>2080</v>
      </c>
      <c r="AS28" s="2">
        <f t="shared" si="25"/>
        <v>16640</v>
      </c>
      <c r="AT28" s="2">
        <f t="shared" si="26"/>
        <v>4.6222222222222218</v>
      </c>
      <c r="AU28">
        <v>800</v>
      </c>
      <c r="AV28">
        <v>800</v>
      </c>
      <c r="AW28" s="2">
        <f t="shared" si="27"/>
        <v>1600</v>
      </c>
      <c r="AX28" s="2">
        <f t="shared" si="28"/>
        <v>12800</v>
      </c>
      <c r="AY28" s="2">
        <f t="shared" si="29"/>
        <v>3.5555555555555554</v>
      </c>
    </row>
    <row r="29" spans="1:51" x14ac:dyDescent="0.3">
      <c r="A29" s="2" t="s">
        <v>33</v>
      </c>
      <c r="B29" s="2">
        <v>880</v>
      </c>
      <c r="C29" s="2">
        <v>880</v>
      </c>
      <c r="D29" s="2">
        <f t="shared" si="0"/>
        <v>1760</v>
      </c>
      <c r="E29" s="2">
        <f t="shared" si="1"/>
        <v>14080</v>
      </c>
      <c r="F29" s="2">
        <f t="shared" si="2"/>
        <v>3.911111111111111</v>
      </c>
      <c r="G29">
        <v>1120</v>
      </c>
      <c r="H29">
        <v>1120</v>
      </c>
      <c r="I29" s="2">
        <f t="shared" si="3"/>
        <v>2240</v>
      </c>
      <c r="J29" s="2">
        <f t="shared" si="4"/>
        <v>17920</v>
      </c>
      <c r="K29" s="2">
        <f t="shared" si="5"/>
        <v>4.9777777777777779</v>
      </c>
      <c r="L29">
        <v>1120</v>
      </c>
      <c r="M29">
        <v>1120</v>
      </c>
      <c r="N29" s="2">
        <f t="shared" si="6"/>
        <v>2240</v>
      </c>
      <c r="O29" s="2">
        <f t="shared" si="7"/>
        <v>17920</v>
      </c>
      <c r="P29" s="2">
        <f t="shared" si="8"/>
        <v>4.9777777777777779</v>
      </c>
      <c r="Q29">
        <v>960</v>
      </c>
      <c r="R29">
        <v>960</v>
      </c>
      <c r="S29" s="2">
        <f t="shared" si="9"/>
        <v>1920</v>
      </c>
      <c r="T29" s="2">
        <f t="shared" si="10"/>
        <v>15360</v>
      </c>
      <c r="U29" s="2">
        <f t="shared" si="11"/>
        <v>4.2666666666666666</v>
      </c>
      <c r="V29">
        <v>960</v>
      </c>
      <c r="W29">
        <v>960</v>
      </c>
      <c r="X29" s="2">
        <f t="shared" si="12"/>
        <v>1920</v>
      </c>
      <c r="Y29" s="2">
        <f t="shared" si="13"/>
        <v>15360</v>
      </c>
      <c r="Z29" s="2">
        <f t="shared" si="14"/>
        <v>4.2666666666666666</v>
      </c>
      <c r="AA29">
        <v>960</v>
      </c>
      <c r="AB29">
        <v>960</v>
      </c>
      <c r="AC29" s="2">
        <f t="shared" si="15"/>
        <v>1920</v>
      </c>
      <c r="AD29" s="2">
        <f t="shared" si="16"/>
        <v>15360</v>
      </c>
      <c r="AE29" s="2">
        <f t="shared" si="17"/>
        <v>4.2666666666666666</v>
      </c>
      <c r="AF29">
        <v>1040</v>
      </c>
      <c r="AG29">
        <v>1040</v>
      </c>
      <c r="AH29" s="2">
        <f t="shared" si="18"/>
        <v>2080</v>
      </c>
      <c r="AI29" s="2">
        <f t="shared" si="19"/>
        <v>16640</v>
      </c>
      <c r="AJ29" s="2">
        <f t="shared" si="20"/>
        <v>4.6222222222222218</v>
      </c>
      <c r="AK29">
        <v>1200</v>
      </c>
      <c r="AL29">
        <v>1200</v>
      </c>
      <c r="AM29" s="2">
        <f t="shared" si="21"/>
        <v>2400</v>
      </c>
      <c r="AN29" s="2">
        <f t="shared" si="22"/>
        <v>19200</v>
      </c>
      <c r="AO29" s="2">
        <f t="shared" si="23"/>
        <v>5.333333333333333</v>
      </c>
      <c r="AP29">
        <v>1200</v>
      </c>
      <c r="AQ29">
        <v>1200</v>
      </c>
      <c r="AR29" s="2">
        <f t="shared" si="24"/>
        <v>2400</v>
      </c>
      <c r="AS29" s="2">
        <f t="shared" si="25"/>
        <v>19200</v>
      </c>
      <c r="AT29" s="2">
        <f t="shared" si="26"/>
        <v>5.333333333333333</v>
      </c>
      <c r="AU29">
        <v>1200</v>
      </c>
      <c r="AV29">
        <v>1200</v>
      </c>
      <c r="AW29" s="2">
        <f t="shared" si="27"/>
        <v>2400</v>
      </c>
      <c r="AX29" s="2">
        <f t="shared" si="28"/>
        <v>19200</v>
      </c>
      <c r="AY29" s="2">
        <f t="shared" si="29"/>
        <v>5.333333333333333</v>
      </c>
    </row>
    <row r="30" spans="1:51" x14ac:dyDescent="0.3">
      <c r="A30" s="2" t="s">
        <v>34</v>
      </c>
      <c r="B30" s="2">
        <v>880</v>
      </c>
      <c r="C30" s="2">
        <v>880</v>
      </c>
      <c r="D30" s="2">
        <f t="shared" si="0"/>
        <v>1760</v>
      </c>
      <c r="E30" s="2">
        <f t="shared" si="1"/>
        <v>14080</v>
      </c>
      <c r="F30" s="2">
        <f t="shared" si="2"/>
        <v>3.911111111111111</v>
      </c>
      <c r="G30">
        <v>960</v>
      </c>
      <c r="H30">
        <v>960</v>
      </c>
      <c r="I30" s="2">
        <f t="shared" si="3"/>
        <v>1920</v>
      </c>
      <c r="J30" s="2">
        <f t="shared" si="4"/>
        <v>15360</v>
      </c>
      <c r="K30" s="2">
        <f t="shared" si="5"/>
        <v>4.2666666666666666</v>
      </c>
      <c r="L30">
        <v>960</v>
      </c>
      <c r="M30">
        <v>960</v>
      </c>
      <c r="N30" s="2">
        <f t="shared" si="6"/>
        <v>1920</v>
      </c>
      <c r="O30" s="2">
        <f t="shared" si="7"/>
        <v>15360</v>
      </c>
      <c r="P30" s="2">
        <f t="shared" si="8"/>
        <v>4.2666666666666666</v>
      </c>
      <c r="Q30">
        <v>1200</v>
      </c>
      <c r="R30">
        <v>1200</v>
      </c>
      <c r="S30" s="2">
        <f t="shared" si="9"/>
        <v>2400</v>
      </c>
      <c r="T30" s="2">
        <f t="shared" si="10"/>
        <v>19200</v>
      </c>
      <c r="U30" s="2">
        <f t="shared" si="11"/>
        <v>5.333333333333333</v>
      </c>
      <c r="V30">
        <v>1200</v>
      </c>
      <c r="W30">
        <v>1200</v>
      </c>
      <c r="X30" s="2">
        <f t="shared" si="12"/>
        <v>2400</v>
      </c>
      <c r="Y30" s="2">
        <f t="shared" si="13"/>
        <v>19200</v>
      </c>
      <c r="Z30" s="2">
        <f t="shared" si="14"/>
        <v>5.333333333333333</v>
      </c>
      <c r="AA30">
        <v>1040</v>
      </c>
      <c r="AB30">
        <v>1040</v>
      </c>
      <c r="AC30" s="2">
        <f t="shared" si="15"/>
        <v>2080</v>
      </c>
      <c r="AD30" s="2">
        <f t="shared" si="16"/>
        <v>16640</v>
      </c>
      <c r="AE30" s="2">
        <f t="shared" si="17"/>
        <v>4.6222222222222218</v>
      </c>
      <c r="AF30">
        <v>960</v>
      </c>
      <c r="AG30">
        <v>960</v>
      </c>
      <c r="AH30" s="2">
        <f t="shared" si="18"/>
        <v>1920</v>
      </c>
      <c r="AI30" s="2">
        <f t="shared" si="19"/>
        <v>15360</v>
      </c>
      <c r="AJ30" s="2">
        <f t="shared" si="20"/>
        <v>4.2666666666666666</v>
      </c>
      <c r="AK30">
        <v>1040</v>
      </c>
      <c r="AL30">
        <v>1040</v>
      </c>
      <c r="AM30" s="2">
        <f t="shared" si="21"/>
        <v>2080</v>
      </c>
      <c r="AN30" s="2">
        <f t="shared" si="22"/>
        <v>16640</v>
      </c>
      <c r="AO30" s="2">
        <f t="shared" si="23"/>
        <v>4.6222222222222218</v>
      </c>
      <c r="AP30">
        <v>1120</v>
      </c>
      <c r="AQ30">
        <v>1120</v>
      </c>
      <c r="AR30" s="2">
        <f t="shared" si="24"/>
        <v>2240</v>
      </c>
      <c r="AS30" s="2">
        <f t="shared" si="25"/>
        <v>17920</v>
      </c>
      <c r="AT30" s="2">
        <f t="shared" si="26"/>
        <v>4.9777777777777779</v>
      </c>
      <c r="AU30">
        <v>880</v>
      </c>
      <c r="AV30">
        <v>880</v>
      </c>
      <c r="AW30" s="2">
        <f t="shared" si="27"/>
        <v>1760</v>
      </c>
      <c r="AX30" s="2">
        <f t="shared" si="28"/>
        <v>14080</v>
      </c>
      <c r="AY30" s="2">
        <f t="shared" si="29"/>
        <v>3.911111111111111</v>
      </c>
    </row>
    <row r="31" spans="1:51" x14ac:dyDescent="0.3">
      <c r="A31" s="2" t="s">
        <v>35</v>
      </c>
      <c r="B31" s="2">
        <v>1280</v>
      </c>
      <c r="C31" s="2">
        <v>1280</v>
      </c>
      <c r="D31" s="2">
        <f t="shared" si="0"/>
        <v>2560</v>
      </c>
      <c r="E31" s="2">
        <f t="shared" si="1"/>
        <v>20480</v>
      </c>
      <c r="F31" s="2">
        <f t="shared" si="2"/>
        <v>5.6888888888888891</v>
      </c>
      <c r="G31">
        <v>1200</v>
      </c>
      <c r="H31">
        <v>1200</v>
      </c>
      <c r="I31" s="2">
        <f t="shared" si="3"/>
        <v>2400</v>
      </c>
      <c r="J31" s="2">
        <f t="shared" si="4"/>
        <v>19200</v>
      </c>
      <c r="K31" s="2">
        <f t="shared" si="5"/>
        <v>5.333333333333333</v>
      </c>
      <c r="L31">
        <v>1120</v>
      </c>
      <c r="M31">
        <v>1120</v>
      </c>
      <c r="N31" s="2">
        <f t="shared" si="6"/>
        <v>2240</v>
      </c>
      <c r="O31" s="2">
        <f t="shared" si="7"/>
        <v>17920</v>
      </c>
      <c r="P31" s="2">
        <f t="shared" si="8"/>
        <v>4.9777777777777779</v>
      </c>
      <c r="Q31">
        <v>1200</v>
      </c>
      <c r="R31">
        <v>1200</v>
      </c>
      <c r="S31" s="2">
        <f t="shared" si="9"/>
        <v>2400</v>
      </c>
      <c r="T31" s="2">
        <f t="shared" si="10"/>
        <v>19200</v>
      </c>
      <c r="U31" s="2">
        <f t="shared" si="11"/>
        <v>5.333333333333333</v>
      </c>
      <c r="V31">
        <v>1200</v>
      </c>
      <c r="W31">
        <v>1200</v>
      </c>
      <c r="X31" s="2">
        <f t="shared" si="12"/>
        <v>2400</v>
      </c>
      <c r="Y31" s="2">
        <f t="shared" si="13"/>
        <v>19200</v>
      </c>
      <c r="Z31" s="2">
        <f t="shared" si="14"/>
        <v>5.333333333333333</v>
      </c>
      <c r="AA31">
        <v>1200</v>
      </c>
      <c r="AB31">
        <v>1200</v>
      </c>
      <c r="AC31" s="2">
        <f t="shared" si="15"/>
        <v>2400</v>
      </c>
      <c r="AD31" s="2">
        <f t="shared" si="16"/>
        <v>19200</v>
      </c>
      <c r="AE31" s="2">
        <f t="shared" si="17"/>
        <v>5.333333333333333</v>
      </c>
      <c r="AF31">
        <v>880</v>
      </c>
      <c r="AG31">
        <v>880</v>
      </c>
      <c r="AH31" s="2">
        <f t="shared" si="18"/>
        <v>1760</v>
      </c>
      <c r="AI31" s="2">
        <f t="shared" si="19"/>
        <v>14080</v>
      </c>
      <c r="AJ31" s="2">
        <f t="shared" si="20"/>
        <v>3.911111111111111</v>
      </c>
      <c r="AK31">
        <v>960</v>
      </c>
      <c r="AL31">
        <v>960</v>
      </c>
      <c r="AM31" s="2">
        <f t="shared" si="21"/>
        <v>1920</v>
      </c>
      <c r="AN31" s="2">
        <f t="shared" si="22"/>
        <v>15360</v>
      </c>
      <c r="AO31" s="2">
        <f t="shared" si="23"/>
        <v>4.2666666666666666</v>
      </c>
      <c r="AP31">
        <v>960</v>
      </c>
      <c r="AQ31">
        <v>960</v>
      </c>
      <c r="AR31" s="2">
        <f t="shared" si="24"/>
        <v>1920</v>
      </c>
      <c r="AS31" s="2">
        <f t="shared" si="25"/>
        <v>15360</v>
      </c>
      <c r="AT31" s="2">
        <f t="shared" si="26"/>
        <v>4.2666666666666666</v>
      </c>
      <c r="AU31">
        <v>1360</v>
      </c>
      <c r="AV31">
        <v>1360</v>
      </c>
      <c r="AW31" s="2">
        <f t="shared" si="27"/>
        <v>2720</v>
      </c>
      <c r="AX31" s="2">
        <f t="shared" si="28"/>
        <v>21760</v>
      </c>
      <c r="AY31" s="2">
        <f t="shared" si="29"/>
        <v>6.0444444444444443</v>
      </c>
    </row>
    <row r="32" spans="1:51" x14ac:dyDescent="0.3">
      <c r="A32" s="2" t="s">
        <v>36</v>
      </c>
      <c r="B32" s="2">
        <v>1040</v>
      </c>
      <c r="C32" s="2">
        <v>1040</v>
      </c>
      <c r="D32" s="2">
        <f t="shared" si="0"/>
        <v>2080</v>
      </c>
      <c r="E32" s="2">
        <f t="shared" si="1"/>
        <v>16640</v>
      </c>
      <c r="F32" s="2">
        <f t="shared" si="2"/>
        <v>4.6222222222222218</v>
      </c>
      <c r="G32">
        <v>1200</v>
      </c>
      <c r="H32">
        <v>1200</v>
      </c>
      <c r="I32" s="2">
        <f t="shared" si="3"/>
        <v>2400</v>
      </c>
      <c r="J32" s="2">
        <f t="shared" si="4"/>
        <v>19200</v>
      </c>
      <c r="K32" s="2">
        <f t="shared" si="5"/>
        <v>5.333333333333333</v>
      </c>
      <c r="L32">
        <v>1040</v>
      </c>
      <c r="M32">
        <v>1040</v>
      </c>
      <c r="N32" s="2">
        <f t="shared" si="6"/>
        <v>2080</v>
      </c>
      <c r="O32" s="2">
        <f t="shared" si="7"/>
        <v>16640</v>
      </c>
      <c r="P32" s="2">
        <f t="shared" si="8"/>
        <v>4.6222222222222218</v>
      </c>
      <c r="Q32">
        <v>960</v>
      </c>
      <c r="R32">
        <v>960</v>
      </c>
      <c r="S32" s="2">
        <f t="shared" si="9"/>
        <v>1920</v>
      </c>
      <c r="T32" s="2">
        <f t="shared" si="10"/>
        <v>15360</v>
      </c>
      <c r="U32" s="2">
        <f t="shared" si="11"/>
        <v>4.2666666666666666</v>
      </c>
      <c r="V32">
        <v>960</v>
      </c>
      <c r="W32">
        <v>960</v>
      </c>
      <c r="X32" s="2">
        <f t="shared" si="12"/>
        <v>1920</v>
      </c>
      <c r="Y32" s="2">
        <f t="shared" si="13"/>
        <v>15360</v>
      </c>
      <c r="Z32" s="2">
        <f t="shared" si="14"/>
        <v>4.2666666666666666</v>
      </c>
      <c r="AA32">
        <v>1280</v>
      </c>
      <c r="AB32">
        <v>1280</v>
      </c>
      <c r="AC32" s="2">
        <f t="shared" si="15"/>
        <v>2560</v>
      </c>
      <c r="AD32" s="2">
        <f t="shared" si="16"/>
        <v>20480</v>
      </c>
      <c r="AE32" s="2">
        <f t="shared" si="17"/>
        <v>5.6888888888888891</v>
      </c>
      <c r="AF32">
        <v>1040</v>
      </c>
      <c r="AG32">
        <v>1040</v>
      </c>
      <c r="AH32" s="2">
        <f t="shared" si="18"/>
        <v>2080</v>
      </c>
      <c r="AI32" s="2">
        <f t="shared" si="19"/>
        <v>16640</v>
      </c>
      <c r="AJ32" s="2">
        <f t="shared" si="20"/>
        <v>4.6222222222222218</v>
      </c>
      <c r="AK32">
        <v>1200</v>
      </c>
      <c r="AL32">
        <v>1200</v>
      </c>
      <c r="AM32" s="2">
        <f t="shared" si="21"/>
        <v>2400</v>
      </c>
      <c r="AN32" s="2">
        <f t="shared" si="22"/>
        <v>19200</v>
      </c>
      <c r="AO32" s="2">
        <f t="shared" si="23"/>
        <v>5.333333333333333</v>
      </c>
      <c r="AP32">
        <v>1120</v>
      </c>
      <c r="AQ32">
        <v>1120</v>
      </c>
      <c r="AR32" s="2">
        <f t="shared" si="24"/>
        <v>2240</v>
      </c>
      <c r="AS32" s="2">
        <f t="shared" si="25"/>
        <v>17920</v>
      </c>
      <c r="AT32" s="2">
        <f t="shared" si="26"/>
        <v>4.9777777777777779</v>
      </c>
      <c r="AU32">
        <v>1040</v>
      </c>
      <c r="AV32">
        <v>1040</v>
      </c>
      <c r="AW32" s="2">
        <f t="shared" si="27"/>
        <v>2080</v>
      </c>
      <c r="AX32" s="2">
        <f t="shared" si="28"/>
        <v>16640</v>
      </c>
      <c r="AY32" s="2">
        <f t="shared" si="29"/>
        <v>4.6222222222222218</v>
      </c>
    </row>
    <row r="33" spans="1:51" x14ac:dyDescent="0.3">
      <c r="A33" s="2" t="s">
        <v>37</v>
      </c>
      <c r="B33" s="2">
        <v>800</v>
      </c>
      <c r="C33" s="2">
        <v>800</v>
      </c>
      <c r="D33" s="2">
        <f t="shared" si="0"/>
        <v>1600</v>
      </c>
      <c r="E33" s="2">
        <f t="shared" si="1"/>
        <v>12800</v>
      </c>
      <c r="F33" s="2">
        <f t="shared" si="2"/>
        <v>3.5555555555555554</v>
      </c>
      <c r="G33">
        <v>1120</v>
      </c>
      <c r="H33">
        <v>1120</v>
      </c>
      <c r="I33" s="2">
        <f t="shared" si="3"/>
        <v>2240</v>
      </c>
      <c r="J33" s="2">
        <f t="shared" si="4"/>
        <v>17920</v>
      </c>
      <c r="K33" s="2">
        <f t="shared" si="5"/>
        <v>4.9777777777777779</v>
      </c>
      <c r="L33">
        <v>1040</v>
      </c>
      <c r="M33">
        <v>1040</v>
      </c>
      <c r="N33" s="2">
        <f t="shared" si="6"/>
        <v>2080</v>
      </c>
      <c r="O33" s="2">
        <f t="shared" si="7"/>
        <v>16640</v>
      </c>
      <c r="P33" s="2">
        <f t="shared" si="8"/>
        <v>4.6222222222222218</v>
      </c>
      <c r="Q33">
        <v>1200</v>
      </c>
      <c r="R33">
        <v>1200</v>
      </c>
      <c r="S33" s="2">
        <f t="shared" si="9"/>
        <v>2400</v>
      </c>
      <c r="T33" s="2">
        <f t="shared" si="10"/>
        <v>19200</v>
      </c>
      <c r="U33" s="2">
        <f t="shared" si="11"/>
        <v>5.333333333333333</v>
      </c>
      <c r="V33">
        <v>1200</v>
      </c>
      <c r="W33">
        <v>1200</v>
      </c>
      <c r="X33" s="2">
        <f t="shared" si="12"/>
        <v>2400</v>
      </c>
      <c r="Y33" s="2">
        <f t="shared" si="13"/>
        <v>19200</v>
      </c>
      <c r="Z33" s="2">
        <f t="shared" si="14"/>
        <v>5.333333333333333</v>
      </c>
      <c r="AA33">
        <v>720</v>
      </c>
      <c r="AB33">
        <v>720</v>
      </c>
      <c r="AC33" s="2">
        <f t="shared" si="15"/>
        <v>1440</v>
      </c>
      <c r="AD33" s="2">
        <f t="shared" si="16"/>
        <v>11520</v>
      </c>
      <c r="AE33" s="2">
        <f t="shared" si="17"/>
        <v>3.2</v>
      </c>
      <c r="AF33">
        <v>1120</v>
      </c>
      <c r="AG33">
        <v>1120</v>
      </c>
      <c r="AH33" s="2">
        <f t="shared" si="18"/>
        <v>2240</v>
      </c>
      <c r="AI33" s="2">
        <f t="shared" si="19"/>
        <v>17920</v>
      </c>
      <c r="AJ33" s="2">
        <f t="shared" si="20"/>
        <v>4.9777777777777779</v>
      </c>
      <c r="AK33">
        <v>1040</v>
      </c>
      <c r="AL33">
        <v>1040</v>
      </c>
      <c r="AM33" s="2">
        <f t="shared" si="21"/>
        <v>2080</v>
      </c>
      <c r="AN33" s="2">
        <f t="shared" si="22"/>
        <v>16640</v>
      </c>
      <c r="AO33" s="2">
        <f t="shared" si="23"/>
        <v>4.6222222222222218</v>
      </c>
      <c r="AP33">
        <v>1200</v>
      </c>
      <c r="AQ33">
        <v>1200</v>
      </c>
      <c r="AR33" s="2">
        <f t="shared" si="24"/>
        <v>2400</v>
      </c>
      <c r="AS33" s="2">
        <f t="shared" si="25"/>
        <v>19200</v>
      </c>
      <c r="AT33" s="2">
        <f t="shared" si="26"/>
        <v>5.333333333333333</v>
      </c>
      <c r="AU33">
        <v>1120</v>
      </c>
      <c r="AV33">
        <v>1120</v>
      </c>
      <c r="AW33" s="2">
        <f t="shared" si="27"/>
        <v>2240</v>
      </c>
      <c r="AX33" s="2">
        <f t="shared" si="28"/>
        <v>17920</v>
      </c>
      <c r="AY33" s="2">
        <f t="shared" si="29"/>
        <v>4.9777777777777779</v>
      </c>
    </row>
    <row r="34" spans="1:51" x14ac:dyDescent="0.3">
      <c r="A34" s="2" t="s">
        <v>38</v>
      </c>
      <c r="B34" s="2">
        <v>960</v>
      </c>
      <c r="C34" s="2">
        <v>960</v>
      </c>
      <c r="D34" s="2">
        <f t="shared" si="0"/>
        <v>1920</v>
      </c>
      <c r="E34" s="2">
        <f t="shared" si="1"/>
        <v>15360</v>
      </c>
      <c r="F34" s="2">
        <f t="shared" si="2"/>
        <v>4.2666666666666666</v>
      </c>
      <c r="G34">
        <v>1120</v>
      </c>
      <c r="H34">
        <v>1120</v>
      </c>
      <c r="I34" s="2">
        <f t="shared" si="3"/>
        <v>2240</v>
      </c>
      <c r="J34" s="2">
        <f t="shared" si="4"/>
        <v>17920</v>
      </c>
      <c r="K34" s="2">
        <f t="shared" si="5"/>
        <v>4.9777777777777779</v>
      </c>
      <c r="L34">
        <v>1120</v>
      </c>
      <c r="M34">
        <v>1120</v>
      </c>
      <c r="N34" s="2">
        <f t="shared" si="6"/>
        <v>2240</v>
      </c>
      <c r="O34" s="2">
        <f t="shared" si="7"/>
        <v>17920</v>
      </c>
      <c r="P34" s="2">
        <f t="shared" si="8"/>
        <v>4.9777777777777779</v>
      </c>
      <c r="Q34">
        <v>1120</v>
      </c>
      <c r="R34">
        <v>1120</v>
      </c>
      <c r="S34" s="2">
        <f t="shared" si="9"/>
        <v>2240</v>
      </c>
      <c r="T34" s="2">
        <f t="shared" si="10"/>
        <v>17920</v>
      </c>
      <c r="U34" s="2">
        <f t="shared" si="11"/>
        <v>4.9777777777777779</v>
      </c>
      <c r="V34">
        <v>1120</v>
      </c>
      <c r="W34">
        <v>1120</v>
      </c>
      <c r="X34" s="2">
        <f t="shared" si="12"/>
        <v>2240</v>
      </c>
      <c r="Y34" s="2">
        <f t="shared" si="13"/>
        <v>17920</v>
      </c>
      <c r="Z34" s="2">
        <f t="shared" si="14"/>
        <v>4.9777777777777779</v>
      </c>
      <c r="AA34">
        <v>960</v>
      </c>
      <c r="AB34">
        <v>960</v>
      </c>
      <c r="AC34" s="2">
        <f t="shared" si="15"/>
        <v>1920</v>
      </c>
      <c r="AD34" s="2">
        <f t="shared" si="16"/>
        <v>15360</v>
      </c>
      <c r="AE34" s="2">
        <f t="shared" si="17"/>
        <v>4.2666666666666666</v>
      </c>
      <c r="AF34">
        <v>1040</v>
      </c>
      <c r="AG34">
        <v>1040</v>
      </c>
      <c r="AH34" s="2">
        <f t="shared" si="18"/>
        <v>2080</v>
      </c>
      <c r="AI34" s="2">
        <f t="shared" si="19"/>
        <v>16640</v>
      </c>
      <c r="AJ34" s="2">
        <f t="shared" si="20"/>
        <v>4.6222222222222218</v>
      </c>
      <c r="AK34">
        <v>1040</v>
      </c>
      <c r="AL34">
        <v>1040</v>
      </c>
      <c r="AM34" s="2">
        <f t="shared" si="21"/>
        <v>2080</v>
      </c>
      <c r="AN34" s="2">
        <f t="shared" si="22"/>
        <v>16640</v>
      </c>
      <c r="AO34" s="2">
        <f t="shared" si="23"/>
        <v>4.6222222222222218</v>
      </c>
      <c r="AP34">
        <v>1120</v>
      </c>
      <c r="AQ34">
        <v>1120</v>
      </c>
      <c r="AR34" s="2">
        <f t="shared" si="24"/>
        <v>2240</v>
      </c>
      <c r="AS34" s="2">
        <f t="shared" si="25"/>
        <v>17920</v>
      </c>
      <c r="AT34" s="2">
        <f t="shared" si="26"/>
        <v>4.9777777777777779</v>
      </c>
      <c r="AU34">
        <v>1040</v>
      </c>
      <c r="AV34">
        <v>1040</v>
      </c>
      <c r="AW34" s="2">
        <f t="shared" si="27"/>
        <v>2080</v>
      </c>
      <c r="AX34" s="2">
        <f t="shared" si="28"/>
        <v>16640</v>
      </c>
      <c r="AY34" s="2">
        <f t="shared" si="29"/>
        <v>4.6222222222222218</v>
      </c>
    </row>
    <row r="35" spans="1:51" x14ac:dyDescent="0.3">
      <c r="A35" s="2" t="s">
        <v>39</v>
      </c>
      <c r="B35" s="2">
        <v>1040</v>
      </c>
      <c r="C35" s="2">
        <v>1040</v>
      </c>
      <c r="D35" s="2">
        <f t="shared" si="0"/>
        <v>2080</v>
      </c>
      <c r="E35" s="2">
        <f t="shared" si="1"/>
        <v>16640</v>
      </c>
      <c r="F35" s="2">
        <f t="shared" si="2"/>
        <v>4.6222222222222218</v>
      </c>
      <c r="G35">
        <v>960</v>
      </c>
      <c r="H35">
        <v>960</v>
      </c>
      <c r="I35" s="2">
        <f t="shared" si="3"/>
        <v>1920</v>
      </c>
      <c r="J35" s="2">
        <f t="shared" si="4"/>
        <v>15360</v>
      </c>
      <c r="K35" s="2">
        <f t="shared" si="5"/>
        <v>4.2666666666666666</v>
      </c>
      <c r="L35">
        <v>1200</v>
      </c>
      <c r="M35">
        <v>1200</v>
      </c>
      <c r="N35" s="2">
        <f t="shared" si="6"/>
        <v>2400</v>
      </c>
      <c r="O35" s="2">
        <f t="shared" si="7"/>
        <v>19200</v>
      </c>
      <c r="P35" s="2">
        <f t="shared" si="8"/>
        <v>5.333333333333333</v>
      </c>
      <c r="Q35">
        <v>960</v>
      </c>
      <c r="R35">
        <v>960</v>
      </c>
      <c r="S35" s="2">
        <f t="shared" si="9"/>
        <v>1920</v>
      </c>
      <c r="T35" s="2">
        <f t="shared" si="10"/>
        <v>15360</v>
      </c>
      <c r="U35" s="2">
        <f t="shared" si="11"/>
        <v>4.2666666666666666</v>
      </c>
      <c r="V35">
        <v>960</v>
      </c>
      <c r="W35">
        <v>960</v>
      </c>
      <c r="X35" s="2">
        <f t="shared" si="12"/>
        <v>1920</v>
      </c>
      <c r="Y35" s="2">
        <f t="shared" si="13"/>
        <v>15360</v>
      </c>
      <c r="Z35" s="2">
        <f t="shared" si="14"/>
        <v>4.2666666666666666</v>
      </c>
      <c r="AA35">
        <v>1120</v>
      </c>
      <c r="AB35">
        <v>1120</v>
      </c>
      <c r="AC35" s="2">
        <f t="shared" si="15"/>
        <v>2240</v>
      </c>
      <c r="AD35" s="2">
        <f t="shared" si="16"/>
        <v>17920</v>
      </c>
      <c r="AE35" s="2">
        <f t="shared" si="17"/>
        <v>4.9777777777777779</v>
      </c>
      <c r="AF35">
        <v>1040</v>
      </c>
      <c r="AG35">
        <v>1040</v>
      </c>
      <c r="AH35" s="2">
        <f t="shared" si="18"/>
        <v>2080</v>
      </c>
      <c r="AI35" s="2">
        <f t="shared" si="19"/>
        <v>16640</v>
      </c>
      <c r="AJ35" s="2">
        <f t="shared" si="20"/>
        <v>4.6222222222222218</v>
      </c>
      <c r="AK35">
        <v>1200</v>
      </c>
      <c r="AL35">
        <v>1200</v>
      </c>
      <c r="AM35" s="2">
        <f t="shared" si="21"/>
        <v>2400</v>
      </c>
      <c r="AN35" s="2">
        <f t="shared" si="22"/>
        <v>19200</v>
      </c>
      <c r="AO35" s="2">
        <f t="shared" si="23"/>
        <v>5.333333333333333</v>
      </c>
      <c r="AP35">
        <v>1040</v>
      </c>
      <c r="AQ35">
        <v>1040</v>
      </c>
      <c r="AR35" s="2">
        <f t="shared" si="24"/>
        <v>2080</v>
      </c>
      <c r="AS35" s="2">
        <f t="shared" si="25"/>
        <v>16640</v>
      </c>
      <c r="AT35" s="2">
        <f t="shared" si="26"/>
        <v>4.6222222222222218</v>
      </c>
      <c r="AU35">
        <v>1120</v>
      </c>
      <c r="AV35">
        <v>1120</v>
      </c>
      <c r="AW35" s="2">
        <f t="shared" si="27"/>
        <v>2240</v>
      </c>
      <c r="AX35" s="2">
        <f t="shared" si="28"/>
        <v>17920</v>
      </c>
      <c r="AY35" s="2">
        <f t="shared" si="29"/>
        <v>4.9777777777777779</v>
      </c>
    </row>
    <row r="36" spans="1:51" x14ac:dyDescent="0.3">
      <c r="A36" s="2" t="s">
        <v>40</v>
      </c>
      <c r="B36" s="2">
        <v>960</v>
      </c>
      <c r="C36" s="2">
        <v>960</v>
      </c>
      <c r="D36" s="2">
        <f t="shared" si="0"/>
        <v>1920</v>
      </c>
      <c r="E36" s="2">
        <f t="shared" si="1"/>
        <v>15360</v>
      </c>
      <c r="F36" s="2">
        <f t="shared" si="2"/>
        <v>4.2666666666666666</v>
      </c>
      <c r="G36">
        <v>960</v>
      </c>
      <c r="H36">
        <v>960</v>
      </c>
      <c r="I36" s="2">
        <f t="shared" si="3"/>
        <v>1920</v>
      </c>
      <c r="J36" s="2">
        <f t="shared" si="4"/>
        <v>15360</v>
      </c>
      <c r="K36" s="2">
        <f t="shared" si="5"/>
        <v>4.2666666666666666</v>
      </c>
      <c r="L36">
        <v>960</v>
      </c>
      <c r="M36">
        <v>960</v>
      </c>
      <c r="N36" s="2">
        <f t="shared" si="6"/>
        <v>1920</v>
      </c>
      <c r="O36" s="2">
        <f t="shared" si="7"/>
        <v>15360</v>
      </c>
      <c r="P36" s="2">
        <f t="shared" si="8"/>
        <v>4.2666666666666666</v>
      </c>
      <c r="Q36">
        <v>960</v>
      </c>
      <c r="R36">
        <v>960</v>
      </c>
      <c r="S36" s="2">
        <f t="shared" si="9"/>
        <v>1920</v>
      </c>
      <c r="T36" s="2">
        <f t="shared" si="10"/>
        <v>15360</v>
      </c>
      <c r="U36" s="2">
        <f t="shared" si="11"/>
        <v>4.2666666666666666</v>
      </c>
      <c r="V36">
        <v>960</v>
      </c>
      <c r="W36">
        <v>960</v>
      </c>
      <c r="X36" s="2">
        <f t="shared" si="12"/>
        <v>1920</v>
      </c>
      <c r="Y36" s="2">
        <f t="shared" si="13"/>
        <v>15360</v>
      </c>
      <c r="Z36" s="2">
        <f t="shared" si="14"/>
        <v>4.2666666666666666</v>
      </c>
      <c r="AA36">
        <v>1040</v>
      </c>
      <c r="AB36">
        <v>1040</v>
      </c>
      <c r="AC36" s="2">
        <f t="shared" si="15"/>
        <v>2080</v>
      </c>
      <c r="AD36" s="2">
        <f t="shared" si="16"/>
        <v>16640</v>
      </c>
      <c r="AE36" s="2">
        <f t="shared" si="17"/>
        <v>4.6222222222222218</v>
      </c>
      <c r="AF36">
        <v>1120</v>
      </c>
      <c r="AG36">
        <v>1120</v>
      </c>
      <c r="AH36" s="2">
        <f t="shared" si="18"/>
        <v>2240</v>
      </c>
      <c r="AI36" s="2">
        <f t="shared" si="19"/>
        <v>17920</v>
      </c>
      <c r="AJ36" s="2">
        <f t="shared" si="20"/>
        <v>4.9777777777777779</v>
      </c>
      <c r="AK36">
        <v>960</v>
      </c>
      <c r="AL36">
        <v>960</v>
      </c>
      <c r="AM36" s="2">
        <f t="shared" si="21"/>
        <v>1920</v>
      </c>
      <c r="AN36" s="2">
        <f t="shared" si="22"/>
        <v>15360</v>
      </c>
      <c r="AO36" s="2">
        <f t="shared" si="23"/>
        <v>4.2666666666666666</v>
      </c>
      <c r="AP36">
        <v>1040</v>
      </c>
      <c r="AQ36">
        <v>1040</v>
      </c>
      <c r="AR36" s="2">
        <f t="shared" si="24"/>
        <v>2080</v>
      </c>
      <c r="AS36" s="2">
        <f t="shared" si="25"/>
        <v>16640</v>
      </c>
      <c r="AT36" s="2">
        <f t="shared" si="26"/>
        <v>4.6222222222222218</v>
      </c>
      <c r="AU36">
        <v>960</v>
      </c>
      <c r="AV36">
        <v>960</v>
      </c>
      <c r="AW36" s="2">
        <f t="shared" si="27"/>
        <v>1920</v>
      </c>
      <c r="AX36" s="2">
        <f t="shared" si="28"/>
        <v>15360</v>
      </c>
      <c r="AY36" s="2">
        <f t="shared" si="29"/>
        <v>4.2666666666666666</v>
      </c>
    </row>
    <row r="37" spans="1:51" x14ac:dyDescent="0.3">
      <c r="A37" s="2" t="s">
        <v>41</v>
      </c>
      <c r="B37" s="2">
        <v>1040</v>
      </c>
      <c r="C37" s="2">
        <v>1040</v>
      </c>
      <c r="D37" s="2">
        <f t="shared" si="0"/>
        <v>2080</v>
      </c>
      <c r="E37" s="2">
        <f t="shared" si="1"/>
        <v>16640</v>
      </c>
      <c r="F37" s="2">
        <f t="shared" si="2"/>
        <v>4.6222222222222218</v>
      </c>
      <c r="G37">
        <v>720</v>
      </c>
      <c r="H37">
        <v>720</v>
      </c>
      <c r="I37" s="2">
        <f t="shared" si="3"/>
        <v>1440</v>
      </c>
      <c r="J37" s="2">
        <f t="shared" si="4"/>
        <v>11520</v>
      </c>
      <c r="K37" s="2">
        <f t="shared" si="5"/>
        <v>3.2</v>
      </c>
      <c r="L37">
        <v>1040</v>
      </c>
      <c r="M37">
        <v>1040</v>
      </c>
      <c r="N37" s="2">
        <f t="shared" si="6"/>
        <v>2080</v>
      </c>
      <c r="O37" s="2">
        <f t="shared" si="7"/>
        <v>16640</v>
      </c>
      <c r="P37" s="2">
        <f t="shared" si="8"/>
        <v>4.6222222222222218</v>
      </c>
      <c r="Q37">
        <v>960</v>
      </c>
      <c r="R37">
        <v>960</v>
      </c>
      <c r="S37" s="2">
        <f t="shared" si="9"/>
        <v>1920</v>
      </c>
      <c r="T37" s="2">
        <f t="shared" si="10"/>
        <v>15360</v>
      </c>
      <c r="U37" s="2">
        <f t="shared" si="11"/>
        <v>4.2666666666666666</v>
      </c>
      <c r="V37">
        <v>960</v>
      </c>
      <c r="W37">
        <v>960</v>
      </c>
      <c r="X37" s="2">
        <f t="shared" si="12"/>
        <v>1920</v>
      </c>
      <c r="Y37" s="2">
        <f t="shared" si="13"/>
        <v>15360</v>
      </c>
      <c r="Z37" s="2">
        <f t="shared" si="14"/>
        <v>4.2666666666666666</v>
      </c>
      <c r="AA37">
        <v>1200</v>
      </c>
      <c r="AB37">
        <v>1200</v>
      </c>
      <c r="AC37" s="2">
        <f t="shared" si="15"/>
        <v>2400</v>
      </c>
      <c r="AD37" s="2">
        <f t="shared" si="16"/>
        <v>19200</v>
      </c>
      <c r="AE37" s="2">
        <f t="shared" si="17"/>
        <v>5.333333333333333</v>
      </c>
      <c r="AF37">
        <v>720</v>
      </c>
      <c r="AG37">
        <v>720</v>
      </c>
      <c r="AH37" s="2">
        <f t="shared" si="18"/>
        <v>1440</v>
      </c>
      <c r="AI37" s="2">
        <f t="shared" si="19"/>
        <v>11520</v>
      </c>
      <c r="AJ37" s="2">
        <f t="shared" si="20"/>
        <v>3.2</v>
      </c>
      <c r="AK37">
        <v>1120</v>
      </c>
      <c r="AL37">
        <v>1120</v>
      </c>
      <c r="AM37" s="2">
        <f t="shared" si="21"/>
        <v>2240</v>
      </c>
      <c r="AN37" s="2">
        <f t="shared" si="22"/>
        <v>17920</v>
      </c>
      <c r="AO37" s="2">
        <f t="shared" si="23"/>
        <v>4.9777777777777779</v>
      </c>
      <c r="AP37">
        <v>960</v>
      </c>
      <c r="AQ37">
        <v>960</v>
      </c>
      <c r="AR37" s="2">
        <f t="shared" si="24"/>
        <v>1920</v>
      </c>
      <c r="AS37" s="2">
        <f t="shared" si="25"/>
        <v>15360</v>
      </c>
      <c r="AT37" s="2">
        <f t="shared" si="26"/>
        <v>4.2666666666666666</v>
      </c>
      <c r="AU37">
        <v>1040</v>
      </c>
      <c r="AV37">
        <v>1040</v>
      </c>
      <c r="AW37" s="2">
        <f t="shared" si="27"/>
        <v>2080</v>
      </c>
      <c r="AX37" s="2">
        <f t="shared" si="28"/>
        <v>16640</v>
      </c>
      <c r="AY37" s="2">
        <f t="shared" si="29"/>
        <v>4.6222222222222218</v>
      </c>
    </row>
    <row r="38" spans="1:51" x14ac:dyDescent="0.3">
      <c r="A38" s="2" t="s">
        <v>42</v>
      </c>
      <c r="B38" s="2">
        <v>880</v>
      </c>
      <c r="C38" s="2">
        <v>880</v>
      </c>
      <c r="D38" s="2">
        <f t="shared" si="0"/>
        <v>1760</v>
      </c>
      <c r="E38" s="2">
        <f t="shared" si="1"/>
        <v>14080</v>
      </c>
      <c r="F38" s="2">
        <f t="shared" si="2"/>
        <v>3.911111111111111</v>
      </c>
      <c r="G38">
        <v>1040</v>
      </c>
      <c r="H38">
        <v>1040</v>
      </c>
      <c r="I38" s="2">
        <f t="shared" si="3"/>
        <v>2080</v>
      </c>
      <c r="J38" s="2">
        <f t="shared" si="4"/>
        <v>16640</v>
      </c>
      <c r="K38" s="2">
        <f t="shared" si="5"/>
        <v>4.6222222222222218</v>
      </c>
      <c r="L38">
        <v>1040</v>
      </c>
      <c r="M38">
        <v>1040</v>
      </c>
      <c r="N38" s="2">
        <f t="shared" si="6"/>
        <v>2080</v>
      </c>
      <c r="O38" s="2">
        <f t="shared" si="7"/>
        <v>16640</v>
      </c>
      <c r="P38" s="2">
        <f t="shared" si="8"/>
        <v>4.6222222222222218</v>
      </c>
      <c r="Q38">
        <v>1120</v>
      </c>
      <c r="R38">
        <v>1120</v>
      </c>
      <c r="S38" s="2">
        <f t="shared" si="9"/>
        <v>2240</v>
      </c>
      <c r="T38" s="2">
        <f t="shared" si="10"/>
        <v>17920</v>
      </c>
      <c r="U38" s="2">
        <f t="shared" si="11"/>
        <v>4.9777777777777779</v>
      </c>
      <c r="V38">
        <v>1120</v>
      </c>
      <c r="W38">
        <v>1120</v>
      </c>
      <c r="X38" s="2">
        <f t="shared" si="12"/>
        <v>2240</v>
      </c>
      <c r="Y38" s="2">
        <f t="shared" si="13"/>
        <v>17920</v>
      </c>
      <c r="Z38" s="2">
        <f t="shared" si="14"/>
        <v>4.9777777777777779</v>
      </c>
      <c r="AA38">
        <v>960</v>
      </c>
      <c r="AB38">
        <v>960</v>
      </c>
      <c r="AC38" s="2">
        <f t="shared" si="15"/>
        <v>1920</v>
      </c>
      <c r="AD38" s="2">
        <f t="shared" si="16"/>
        <v>15360</v>
      </c>
      <c r="AE38" s="2">
        <f t="shared" si="17"/>
        <v>4.2666666666666666</v>
      </c>
      <c r="AF38">
        <v>1040</v>
      </c>
      <c r="AG38">
        <v>1040</v>
      </c>
      <c r="AH38" s="2">
        <f t="shared" si="18"/>
        <v>2080</v>
      </c>
      <c r="AI38" s="2">
        <f t="shared" si="19"/>
        <v>16640</v>
      </c>
      <c r="AJ38" s="2">
        <f t="shared" si="20"/>
        <v>4.6222222222222218</v>
      </c>
      <c r="AK38">
        <v>1040</v>
      </c>
      <c r="AL38">
        <v>1040</v>
      </c>
      <c r="AM38" s="2">
        <f t="shared" si="21"/>
        <v>2080</v>
      </c>
      <c r="AN38" s="2">
        <f t="shared" si="22"/>
        <v>16640</v>
      </c>
      <c r="AO38" s="2">
        <f t="shared" si="23"/>
        <v>4.6222222222222218</v>
      </c>
      <c r="AP38">
        <v>880</v>
      </c>
      <c r="AQ38">
        <v>880</v>
      </c>
      <c r="AR38" s="2">
        <f t="shared" si="24"/>
        <v>1760</v>
      </c>
      <c r="AS38" s="2">
        <f t="shared" si="25"/>
        <v>14080</v>
      </c>
      <c r="AT38" s="2">
        <f t="shared" si="26"/>
        <v>3.911111111111111</v>
      </c>
      <c r="AU38">
        <v>960</v>
      </c>
      <c r="AV38">
        <v>960</v>
      </c>
      <c r="AW38" s="2">
        <f t="shared" si="27"/>
        <v>1920</v>
      </c>
      <c r="AX38" s="2">
        <f t="shared" si="28"/>
        <v>15360</v>
      </c>
      <c r="AY38" s="2">
        <f t="shared" si="29"/>
        <v>4.2666666666666666</v>
      </c>
    </row>
    <row r="39" spans="1:51" x14ac:dyDescent="0.3">
      <c r="A39" s="2" t="s">
        <v>43</v>
      </c>
      <c r="B39" s="2">
        <v>1040</v>
      </c>
      <c r="C39" s="2">
        <v>1040</v>
      </c>
      <c r="D39" s="2">
        <f t="shared" si="0"/>
        <v>2080</v>
      </c>
      <c r="E39" s="2">
        <f t="shared" si="1"/>
        <v>16640</v>
      </c>
      <c r="F39" s="2">
        <f t="shared" si="2"/>
        <v>4.6222222222222218</v>
      </c>
      <c r="G39">
        <v>1120</v>
      </c>
      <c r="H39">
        <v>1120</v>
      </c>
      <c r="I39" s="2">
        <f t="shared" si="3"/>
        <v>2240</v>
      </c>
      <c r="J39" s="2">
        <f t="shared" si="4"/>
        <v>17920</v>
      </c>
      <c r="K39" s="2">
        <f t="shared" si="5"/>
        <v>4.9777777777777779</v>
      </c>
      <c r="L39">
        <v>1280</v>
      </c>
      <c r="M39">
        <v>1280</v>
      </c>
      <c r="N39" s="2">
        <f t="shared" si="6"/>
        <v>2560</v>
      </c>
      <c r="O39" s="2">
        <f t="shared" si="7"/>
        <v>20480</v>
      </c>
      <c r="P39" s="2">
        <f t="shared" si="8"/>
        <v>5.6888888888888891</v>
      </c>
      <c r="Q39">
        <v>1040</v>
      </c>
      <c r="R39">
        <v>1040</v>
      </c>
      <c r="S39" s="2">
        <f t="shared" si="9"/>
        <v>2080</v>
      </c>
      <c r="T39" s="2">
        <f t="shared" si="10"/>
        <v>16640</v>
      </c>
      <c r="U39" s="2">
        <f t="shared" si="11"/>
        <v>4.6222222222222218</v>
      </c>
      <c r="V39">
        <v>1040</v>
      </c>
      <c r="W39">
        <v>1040</v>
      </c>
      <c r="X39" s="2">
        <f t="shared" si="12"/>
        <v>2080</v>
      </c>
      <c r="Y39" s="2">
        <f t="shared" si="13"/>
        <v>16640</v>
      </c>
      <c r="Z39" s="2">
        <f t="shared" si="14"/>
        <v>4.6222222222222218</v>
      </c>
      <c r="AA39">
        <v>1120</v>
      </c>
      <c r="AB39">
        <v>1120</v>
      </c>
      <c r="AC39" s="2">
        <f t="shared" si="15"/>
        <v>2240</v>
      </c>
      <c r="AD39" s="2">
        <f t="shared" si="16"/>
        <v>17920</v>
      </c>
      <c r="AE39" s="2">
        <f t="shared" si="17"/>
        <v>4.9777777777777779</v>
      </c>
      <c r="AF39">
        <v>1200</v>
      </c>
      <c r="AG39">
        <v>1200</v>
      </c>
      <c r="AH39" s="2">
        <f t="shared" si="18"/>
        <v>2400</v>
      </c>
      <c r="AI39" s="2">
        <f t="shared" si="19"/>
        <v>19200</v>
      </c>
      <c r="AJ39" s="2">
        <f t="shared" si="20"/>
        <v>5.333333333333333</v>
      </c>
      <c r="AK39">
        <v>1200</v>
      </c>
      <c r="AL39">
        <v>1200</v>
      </c>
      <c r="AM39" s="2">
        <f t="shared" si="21"/>
        <v>2400</v>
      </c>
      <c r="AN39" s="2">
        <f t="shared" si="22"/>
        <v>19200</v>
      </c>
      <c r="AO39" s="2">
        <f t="shared" si="23"/>
        <v>5.333333333333333</v>
      </c>
      <c r="AP39">
        <v>1200</v>
      </c>
      <c r="AQ39">
        <v>1200</v>
      </c>
      <c r="AR39" s="2">
        <f t="shared" si="24"/>
        <v>2400</v>
      </c>
      <c r="AS39" s="2">
        <f t="shared" si="25"/>
        <v>19200</v>
      </c>
      <c r="AT39" s="2">
        <f t="shared" si="26"/>
        <v>5.333333333333333</v>
      </c>
      <c r="AU39">
        <v>1120</v>
      </c>
      <c r="AV39">
        <v>1120</v>
      </c>
      <c r="AW39" s="2">
        <f t="shared" si="27"/>
        <v>2240</v>
      </c>
      <c r="AX39" s="2">
        <f t="shared" si="28"/>
        <v>17920</v>
      </c>
      <c r="AY39" s="2">
        <f t="shared" si="29"/>
        <v>4.9777777777777779</v>
      </c>
    </row>
    <row r="40" spans="1:51" x14ac:dyDescent="0.3">
      <c r="A40" s="2" t="s">
        <v>44</v>
      </c>
      <c r="B40" s="2">
        <v>960</v>
      </c>
      <c r="C40" s="2">
        <v>960</v>
      </c>
      <c r="D40" s="2">
        <f t="shared" si="0"/>
        <v>1920</v>
      </c>
      <c r="E40" s="2">
        <f t="shared" si="1"/>
        <v>15360</v>
      </c>
      <c r="F40" s="2">
        <f t="shared" si="2"/>
        <v>4.2666666666666666</v>
      </c>
      <c r="G40">
        <v>880</v>
      </c>
      <c r="H40">
        <v>880</v>
      </c>
      <c r="I40" s="2">
        <f t="shared" si="3"/>
        <v>1760</v>
      </c>
      <c r="J40" s="2">
        <f t="shared" si="4"/>
        <v>14080</v>
      </c>
      <c r="K40" s="2">
        <f t="shared" si="5"/>
        <v>3.911111111111111</v>
      </c>
      <c r="L40">
        <v>1280</v>
      </c>
      <c r="M40">
        <v>1280</v>
      </c>
      <c r="N40" s="2">
        <f t="shared" si="6"/>
        <v>2560</v>
      </c>
      <c r="O40" s="2">
        <f t="shared" si="7"/>
        <v>20480</v>
      </c>
      <c r="P40" s="2">
        <f t="shared" si="8"/>
        <v>5.6888888888888891</v>
      </c>
      <c r="Q40">
        <v>1200</v>
      </c>
      <c r="R40">
        <v>1200</v>
      </c>
      <c r="S40" s="2">
        <f t="shared" si="9"/>
        <v>2400</v>
      </c>
      <c r="T40" s="2">
        <f t="shared" si="10"/>
        <v>19200</v>
      </c>
      <c r="U40" s="2">
        <f t="shared" si="11"/>
        <v>5.333333333333333</v>
      </c>
      <c r="V40">
        <v>1200</v>
      </c>
      <c r="W40">
        <v>1200</v>
      </c>
      <c r="X40" s="2">
        <f t="shared" si="12"/>
        <v>2400</v>
      </c>
      <c r="Y40" s="2">
        <f t="shared" si="13"/>
        <v>19200</v>
      </c>
      <c r="Z40" s="2">
        <f t="shared" si="14"/>
        <v>5.333333333333333</v>
      </c>
      <c r="AA40">
        <v>1040</v>
      </c>
      <c r="AB40">
        <v>1040</v>
      </c>
      <c r="AC40" s="2">
        <f t="shared" si="15"/>
        <v>2080</v>
      </c>
      <c r="AD40" s="2">
        <f t="shared" si="16"/>
        <v>16640</v>
      </c>
      <c r="AE40" s="2">
        <f t="shared" si="17"/>
        <v>4.6222222222222218</v>
      </c>
      <c r="AF40">
        <v>1040</v>
      </c>
      <c r="AG40">
        <v>1040</v>
      </c>
      <c r="AH40" s="2">
        <f t="shared" si="18"/>
        <v>2080</v>
      </c>
      <c r="AI40" s="2">
        <f t="shared" si="19"/>
        <v>16640</v>
      </c>
      <c r="AJ40" s="2">
        <f t="shared" si="20"/>
        <v>4.6222222222222218</v>
      </c>
      <c r="AK40">
        <v>1120</v>
      </c>
      <c r="AL40">
        <v>1120</v>
      </c>
      <c r="AM40" s="2">
        <f t="shared" si="21"/>
        <v>2240</v>
      </c>
      <c r="AN40" s="2">
        <f t="shared" si="22"/>
        <v>17920</v>
      </c>
      <c r="AO40" s="2">
        <f t="shared" si="23"/>
        <v>4.9777777777777779</v>
      </c>
      <c r="AP40">
        <v>1120</v>
      </c>
      <c r="AQ40">
        <v>1120</v>
      </c>
      <c r="AR40" s="2">
        <f t="shared" si="24"/>
        <v>2240</v>
      </c>
      <c r="AS40" s="2">
        <f t="shared" si="25"/>
        <v>17920</v>
      </c>
      <c r="AT40" s="2">
        <f t="shared" si="26"/>
        <v>4.9777777777777779</v>
      </c>
      <c r="AU40">
        <v>880</v>
      </c>
      <c r="AV40">
        <v>880</v>
      </c>
      <c r="AW40" s="2">
        <f t="shared" si="27"/>
        <v>1760</v>
      </c>
      <c r="AX40" s="2">
        <f t="shared" si="28"/>
        <v>14080</v>
      </c>
      <c r="AY40" s="2">
        <f t="shared" si="29"/>
        <v>3.911111111111111</v>
      </c>
    </row>
    <row r="41" spans="1:51" x14ac:dyDescent="0.3">
      <c r="A41" s="2" t="s">
        <v>45</v>
      </c>
      <c r="B41" s="2">
        <v>1120</v>
      </c>
      <c r="C41" s="2">
        <v>1120</v>
      </c>
      <c r="D41" s="2">
        <f t="shared" si="0"/>
        <v>2240</v>
      </c>
      <c r="E41" s="2">
        <f t="shared" si="1"/>
        <v>17920</v>
      </c>
      <c r="F41" s="2">
        <f t="shared" si="2"/>
        <v>4.9777777777777779</v>
      </c>
      <c r="G41">
        <v>1120</v>
      </c>
      <c r="H41">
        <v>1120</v>
      </c>
      <c r="I41" s="2">
        <f t="shared" si="3"/>
        <v>2240</v>
      </c>
      <c r="J41" s="2">
        <f t="shared" si="4"/>
        <v>17920</v>
      </c>
      <c r="K41" s="2">
        <f t="shared" si="5"/>
        <v>4.9777777777777779</v>
      </c>
      <c r="L41">
        <v>960</v>
      </c>
      <c r="M41">
        <v>960</v>
      </c>
      <c r="N41" s="2">
        <f t="shared" si="6"/>
        <v>1920</v>
      </c>
      <c r="O41" s="2">
        <f t="shared" si="7"/>
        <v>15360</v>
      </c>
      <c r="P41" s="2">
        <f t="shared" si="8"/>
        <v>4.2666666666666666</v>
      </c>
      <c r="Q41">
        <v>880</v>
      </c>
      <c r="R41">
        <v>880</v>
      </c>
      <c r="S41" s="2">
        <f t="shared" si="9"/>
        <v>1760</v>
      </c>
      <c r="T41" s="2">
        <f t="shared" si="10"/>
        <v>14080</v>
      </c>
      <c r="U41" s="2">
        <f t="shared" si="11"/>
        <v>3.911111111111111</v>
      </c>
      <c r="V41">
        <v>880</v>
      </c>
      <c r="W41">
        <v>880</v>
      </c>
      <c r="X41" s="2">
        <f t="shared" si="12"/>
        <v>1760</v>
      </c>
      <c r="Y41" s="2">
        <f t="shared" si="13"/>
        <v>14080</v>
      </c>
      <c r="Z41" s="2">
        <f t="shared" si="14"/>
        <v>3.911111111111111</v>
      </c>
      <c r="AA41">
        <v>1040</v>
      </c>
      <c r="AB41">
        <v>1040</v>
      </c>
      <c r="AC41" s="2">
        <f t="shared" si="15"/>
        <v>2080</v>
      </c>
      <c r="AD41" s="2">
        <f t="shared" si="16"/>
        <v>16640</v>
      </c>
      <c r="AE41" s="2">
        <f t="shared" si="17"/>
        <v>4.6222222222222218</v>
      </c>
      <c r="AF41">
        <v>880</v>
      </c>
      <c r="AG41">
        <v>880</v>
      </c>
      <c r="AH41" s="2">
        <f t="shared" si="18"/>
        <v>1760</v>
      </c>
      <c r="AI41" s="2">
        <f t="shared" si="19"/>
        <v>14080</v>
      </c>
      <c r="AJ41" s="2">
        <f t="shared" si="20"/>
        <v>3.911111111111111</v>
      </c>
      <c r="AK41">
        <v>1120</v>
      </c>
      <c r="AL41">
        <v>1120</v>
      </c>
      <c r="AM41" s="2">
        <f t="shared" si="21"/>
        <v>2240</v>
      </c>
      <c r="AN41" s="2">
        <f t="shared" si="22"/>
        <v>17920</v>
      </c>
      <c r="AO41" s="2">
        <f t="shared" si="23"/>
        <v>4.9777777777777779</v>
      </c>
      <c r="AP41">
        <v>960</v>
      </c>
      <c r="AQ41">
        <v>960</v>
      </c>
      <c r="AR41" s="2">
        <f t="shared" si="24"/>
        <v>1920</v>
      </c>
      <c r="AS41" s="2">
        <f t="shared" si="25"/>
        <v>15360</v>
      </c>
      <c r="AT41" s="2">
        <f t="shared" si="26"/>
        <v>4.2666666666666666</v>
      </c>
      <c r="AU41">
        <v>1040</v>
      </c>
      <c r="AV41">
        <v>1040</v>
      </c>
      <c r="AW41" s="2">
        <f t="shared" si="27"/>
        <v>2080</v>
      </c>
      <c r="AX41" s="2">
        <f t="shared" si="28"/>
        <v>16640</v>
      </c>
      <c r="AY41" s="2">
        <f t="shared" si="29"/>
        <v>4.6222222222222218</v>
      </c>
    </row>
    <row r="42" spans="1:51" x14ac:dyDescent="0.3">
      <c r="A42" s="2" t="s">
        <v>46</v>
      </c>
      <c r="B42" s="2">
        <v>1200</v>
      </c>
      <c r="C42" s="2">
        <v>1200</v>
      </c>
      <c r="D42" s="2">
        <f t="shared" si="0"/>
        <v>2400</v>
      </c>
      <c r="E42" s="2">
        <f t="shared" si="1"/>
        <v>19200</v>
      </c>
      <c r="F42" s="2">
        <f t="shared" si="2"/>
        <v>5.333333333333333</v>
      </c>
      <c r="G42">
        <v>1120</v>
      </c>
      <c r="H42">
        <v>1120</v>
      </c>
      <c r="I42" s="2">
        <f t="shared" si="3"/>
        <v>2240</v>
      </c>
      <c r="J42" s="2">
        <f t="shared" si="4"/>
        <v>17920</v>
      </c>
      <c r="K42" s="2">
        <f t="shared" si="5"/>
        <v>4.9777777777777779</v>
      </c>
      <c r="L42">
        <v>1040</v>
      </c>
      <c r="M42">
        <v>1040</v>
      </c>
      <c r="N42" s="2">
        <f t="shared" si="6"/>
        <v>2080</v>
      </c>
      <c r="O42" s="2">
        <f t="shared" si="7"/>
        <v>16640</v>
      </c>
      <c r="P42" s="2">
        <f t="shared" si="8"/>
        <v>4.6222222222222218</v>
      </c>
      <c r="Q42">
        <v>1200</v>
      </c>
      <c r="R42">
        <v>1200</v>
      </c>
      <c r="S42" s="2">
        <f t="shared" si="9"/>
        <v>2400</v>
      </c>
      <c r="T42" s="2">
        <f t="shared" si="10"/>
        <v>19200</v>
      </c>
      <c r="U42" s="2">
        <f t="shared" si="11"/>
        <v>5.333333333333333</v>
      </c>
      <c r="V42">
        <v>1200</v>
      </c>
      <c r="W42">
        <v>1200</v>
      </c>
      <c r="X42" s="2">
        <f t="shared" si="12"/>
        <v>2400</v>
      </c>
      <c r="Y42" s="2">
        <f t="shared" si="13"/>
        <v>19200</v>
      </c>
      <c r="Z42" s="2">
        <f t="shared" si="14"/>
        <v>5.333333333333333</v>
      </c>
      <c r="AA42">
        <v>1280</v>
      </c>
      <c r="AB42">
        <v>1280</v>
      </c>
      <c r="AC42" s="2">
        <f t="shared" si="15"/>
        <v>2560</v>
      </c>
      <c r="AD42" s="2">
        <f t="shared" si="16"/>
        <v>20480</v>
      </c>
      <c r="AE42" s="2">
        <f t="shared" si="17"/>
        <v>5.6888888888888891</v>
      </c>
      <c r="AF42">
        <v>1200</v>
      </c>
      <c r="AG42">
        <v>1200</v>
      </c>
      <c r="AH42" s="2">
        <f t="shared" si="18"/>
        <v>2400</v>
      </c>
      <c r="AI42" s="2">
        <f t="shared" si="19"/>
        <v>19200</v>
      </c>
      <c r="AJ42" s="2">
        <f t="shared" si="20"/>
        <v>5.333333333333333</v>
      </c>
      <c r="AK42">
        <v>1200</v>
      </c>
      <c r="AL42">
        <v>1200</v>
      </c>
      <c r="AM42" s="2">
        <f t="shared" si="21"/>
        <v>2400</v>
      </c>
      <c r="AN42" s="2">
        <f t="shared" si="22"/>
        <v>19200</v>
      </c>
      <c r="AO42" s="2">
        <f t="shared" si="23"/>
        <v>5.333333333333333</v>
      </c>
      <c r="AP42">
        <v>1200</v>
      </c>
      <c r="AQ42">
        <v>1200</v>
      </c>
      <c r="AR42" s="2">
        <f t="shared" si="24"/>
        <v>2400</v>
      </c>
      <c r="AS42" s="2">
        <f t="shared" si="25"/>
        <v>19200</v>
      </c>
      <c r="AT42" s="2">
        <f t="shared" si="26"/>
        <v>5.333333333333333</v>
      </c>
      <c r="AU42">
        <v>1280</v>
      </c>
      <c r="AV42">
        <v>1280</v>
      </c>
      <c r="AW42" s="2">
        <f t="shared" si="27"/>
        <v>2560</v>
      </c>
      <c r="AX42" s="2">
        <f t="shared" si="28"/>
        <v>20480</v>
      </c>
      <c r="AY42" s="2">
        <f t="shared" si="29"/>
        <v>5.6888888888888891</v>
      </c>
    </row>
    <row r="43" spans="1:51" x14ac:dyDescent="0.3">
      <c r="A43" s="2" t="s">
        <v>47</v>
      </c>
      <c r="B43" s="2">
        <v>1120</v>
      </c>
      <c r="C43" s="2">
        <v>1120</v>
      </c>
      <c r="D43" s="2">
        <f t="shared" si="0"/>
        <v>2240</v>
      </c>
      <c r="E43" s="2">
        <f t="shared" si="1"/>
        <v>17920</v>
      </c>
      <c r="F43" s="2">
        <f t="shared" si="2"/>
        <v>4.9777777777777779</v>
      </c>
      <c r="G43">
        <v>1120</v>
      </c>
      <c r="H43">
        <v>1120</v>
      </c>
      <c r="I43" s="2">
        <f t="shared" si="3"/>
        <v>2240</v>
      </c>
      <c r="J43" s="2">
        <f t="shared" si="4"/>
        <v>17920</v>
      </c>
      <c r="K43" s="2">
        <f t="shared" si="5"/>
        <v>4.9777777777777779</v>
      </c>
      <c r="L43">
        <v>1120</v>
      </c>
      <c r="M43">
        <v>1120</v>
      </c>
      <c r="N43" s="2">
        <f t="shared" si="6"/>
        <v>2240</v>
      </c>
      <c r="O43" s="2">
        <f t="shared" si="7"/>
        <v>17920</v>
      </c>
      <c r="P43" s="2">
        <f t="shared" si="8"/>
        <v>4.9777777777777779</v>
      </c>
      <c r="Q43">
        <v>1040</v>
      </c>
      <c r="R43">
        <v>1040</v>
      </c>
      <c r="S43" s="2">
        <f t="shared" si="9"/>
        <v>2080</v>
      </c>
      <c r="T43" s="2">
        <f t="shared" si="10"/>
        <v>16640</v>
      </c>
      <c r="U43" s="2">
        <f t="shared" si="11"/>
        <v>4.6222222222222218</v>
      </c>
      <c r="V43">
        <v>1040</v>
      </c>
      <c r="W43">
        <v>1040</v>
      </c>
      <c r="X43" s="2">
        <f t="shared" si="12"/>
        <v>2080</v>
      </c>
      <c r="Y43" s="2">
        <f t="shared" si="13"/>
        <v>16640</v>
      </c>
      <c r="Z43" s="2">
        <f t="shared" si="14"/>
        <v>4.6222222222222218</v>
      </c>
      <c r="AA43">
        <v>1120</v>
      </c>
      <c r="AB43">
        <v>1120</v>
      </c>
      <c r="AC43" s="2">
        <f t="shared" si="15"/>
        <v>2240</v>
      </c>
      <c r="AD43" s="2">
        <f t="shared" si="16"/>
        <v>17920</v>
      </c>
      <c r="AE43" s="2">
        <f t="shared" si="17"/>
        <v>4.9777777777777779</v>
      </c>
      <c r="AF43">
        <v>880</v>
      </c>
      <c r="AG43">
        <v>880</v>
      </c>
      <c r="AH43" s="2">
        <f t="shared" si="18"/>
        <v>1760</v>
      </c>
      <c r="AI43" s="2">
        <f t="shared" si="19"/>
        <v>14080</v>
      </c>
      <c r="AJ43" s="2">
        <f t="shared" si="20"/>
        <v>3.911111111111111</v>
      </c>
      <c r="AK43">
        <v>1040</v>
      </c>
      <c r="AL43">
        <v>1040</v>
      </c>
      <c r="AM43" s="2">
        <f t="shared" si="21"/>
        <v>2080</v>
      </c>
      <c r="AN43" s="2">
        <f t="shared" si="22"/>
        <v>16640</v>
      </c>
      <c r="AO43" s="2">
        <f t="shared" si="23"/>
        <v>4.6222222222222218</v>
      </c>
      <c r="AP43">
        <v>1280</v>
      </c>
      <c r="AQ43">
        <v>1280</v>
      </c>
      <c r="AR43" s="2">
        <f t="shared" si="24"/>
        <v>2560</v>
      </c>
      <c r="AS43" s="2">
        <f t="shared" si="25"/>
        <v>20480</v>
      </c>
      <c r="AT43" s="2">
        <f t="shared" si="26"/>
        <v>5.6888888888888891</v>
      </c>
      <c r="AU43">
        <v>1040</v>
      </c>
      <c r="AV43">
        <v>1040</v>
      </c>
      <c r="AW43" s="2">
        <f t="shared" si="27"/>
        <v>2080</v>
      </c>
      <c r="AX43" s="2">
        <f t="shared" si="28"/>
        <v>16640</v>
      </c>
      <c r="AY43" s="2">
        <f t="shared" si="29"/>
        <v>4.6222222222222218</v>
      </c>
    </row>
    <row r="44" spans="1:51" x14ac:dyDescent="0.3">
      <c r="A44" s="2" t="s">
        <v>48</v>
      </c>
      <c r="B44" s="2">
        <v>1040</v>
      </c>
      <c r="C44" s="2">
        <v>1040</v>
      </c>
      <c r="D44" s="2">
        <f t="shared" si="0"/>
        <v>2080</v>
      </c>
      <c r="E44" s="2">
        <f t="shared" si="1"/>
        <v>16640</v>
      </c>
      <c r="F44" s="2">
        <f t="shared" si="2"/>
        <v>4.6222222222222218</v>
      </c>
      <c r="G44">
        <v>1120</v>
      </c>
      <c r="H44">
        <v>1120</v>
      </c>
      <c r="I44" s="2">
        <f t="shared" si="3"/>
        <v>2240</v>
      </c>
      <c r="J44" s="2">
        <f t="shared" si="4"/>
        <v>17920</v>
      </c>
      <c r="K44" s="2">
        <f t="shared" si="5"/>
        <v>4.9777777777777779</v>
      </c>
      <c r="L44">
        <v>1200</v>
      </c>
      <c r="M44">
        <v>1200</v>
      </c>
      <c r="N44" s="2">
        <f t="shared" si="6"/>
        <v>2400</v>
      </c>
      <c r="O44" s="2">
        <f t="shared" si="7"/>
        <v>19200</v>
      </c>
      <c r="P44" s="2">
        <f t="shared" si="8"/>
        <v>5.333333333333333</v>
      </c>
      <c r="Q44">
        <v>960</v>
      </c>
      <c r="R44">
        <v>960</v>
      </c>
      <c r="S44" s="2">
        <f t="shared" si="9"/>
        <v>1920</v>
      </c>
      <c r="T44" s="2">
        <f t="shared" si="10"/>
        <v>15360</v>
      </c>
      <c r="U44" s="2">
        <f t="shared" si="11"/>
        <v>4.2666666666666666</v>
      </c>
      <c r="V44">
        <v>960</v>
      </c>
      <c r="W44">
        <v>960</v>
      </c>
      <c r="X44" s="2">
        <f t="shared" si="12"/>
        <v>1920</v>
      </c>
      <c r="Y44" s="2">
        <f t="shared" si="13"/>
        <v>15360</v>
      </c>
      <c r="Z44" s="2">
        <f t="shared" si="14"/>
        <v>4.2666666666666666</v>
      </c>
      <c r="AA44">
        <v>1120</v>
      </c>
      <c r="AB44">
        <v>1120</v>
      </c>
      <c r="AC44" s="2">
        <f t="shared" si="15"/>
        <v>2240</v>
      </c>
      <c r="AD44" s="2">
        <f t="shared" si="16"/>
        <v>17920</v>
      </c>
      <c r="AE44" s="2">
        <f t="shared" si="17"/>
        <v>4.9777777777777779</v>
      </c>
      <c r="AF44">
        <v>1040</v>
      </c>
      <c r="AG44">
        <v>1040</v>
      </c>
      <c r="AH44" s="2">
        <f t="shared" si="18"/>
        <v>2080</v>
      </c>
      <c r="AI44" s="2">
        <f t="shared" si="19"/>
        <v>16640</v>
      </c>
      <c r="AJ44" s="2">
        <f t="shared" si="20"/>
        <v>4.6222222222222218</v>
      </c>
      <c r="AK44">
        <v>1120</v>
      </c>
      <c r="AL44">
        <v>1120</v>
      </c>
      <c r="AM44" s="2">
        <f t="shared" si="21"/>
        <v>2240</v>
      </c>
      <c r="AN44" s="2">
        <f t="shared" si="22"/>
        <v>17920</v>
      </c>
      <c r="AO44" s="2">
        <f t="shared" si="23"/>
        <v>4.9777777777777779</v>
      </c>
      <c r="AP44">
        <v>1040</v>
      </c>
      <c r="AQ44">
        <v>1040</v>
      </c>
      <c r="AR44" s="2">
        <f t="shared" si="24"/>
        <v>2080</v>
      </c>
      <c r="AS44" s="2">
        <f t="shared" si="25"/>
        <v>16640</v>
      </c>
      <c r="AT44" s="2">
        <f t="shared" si="26"/>
        <v>4.6222222222222218</v>
      </c>
      <c r="AU44">
        <v>960</v>
      </c>
      <c r="AV44">
        <v>960</v>
      </c>
      <c r="AW44" s="2">
        <f t="shared" si="27"/>
        <v>1920</v>
      </c>
      <c r="AX44" s="2">
        <f t="shared" si="28"/>
        <v>15360</v>
      </c>
      <c r="AY44" s="2">
        <f t="shared" si="29"/>
        <v>4.2666666666666666</v>
      </c>
    </row>
    <row r="45" spans="1:51" x14ac:dyDescent="0.3">
      <c r="A45" s="2" t="s">
        <v>49</v>
      </c>
      <c r="B45" s="2">
        <v>1120</v>
      </c>
      <c r="C45" s="2">
        <v>1120</v>
      </c>
      <c r="D45" s="2">
        <f t="shared" si="0"/>
        <v>2240</v>
      </c>
      <c r="E45" s="2">
        <f t="shared" si="1"/>
        <v>17920</v>
      </c>
      <c r="F45" s="2">
        <f t="shared" si="2"/>
        <v>4.9777777777777779</v>
      </c>
      <c r="G45">
        <v>1200</v>
      </c>
      <c r="H45">
        <v>1200</v>
      </c>
      <c r="I45" s="2">
        <f t="shared" si="3"/>
        <v>2400</v>
      </c>
      <c r="J45" s="2">
        <f t="shared" si="4"/>
        <v>19200</v>
      </c>
      <c r="K45" s="2">
        <f t="shared" si="5"/>
        <v>5.333333333333333</v>
      </c>
      <c r="L45">
        <v>1040</v>
      </c>
      <c r="M45">
        <v>1040</v>
      </c>
      <c r="N45" s="2">
        <f t="shared" si="6"/>
        <v>2080</v>
      </c>
      <c r="O45" s="2">
        <f t="shared" si="7"/>
        <v>16640</v>
      </c>
      <c r="P45" s="2">
        <f t="shared" si="8"/>
        <v>4.6222222222222218</v>
      </c>
      <c r="Q45">
        <v>1040</v>
      </c>
      <c r="R45">
        <v>1040</v>
      </c>
      <c r="S45" s="2">
        <f t="shared" si="9"/>
        <v>2080</v>
      </c>
      <c r="T45" s="2">
        <f t="shared" si="10"/>
        <v>16640</v>
      </c>
      <c r="U45" s="2">
        <f t="shared" si="11"/>
        <v>4.6222222222222218</v>
      </c>
      <c r="V45">
        <v>1040</v>
      </c>
      <c r="W45">
        <v>1040</v>
      </c>
      <c r="X45" s="2">
        <f t="shared" si="12"/>
        <v>2080</v>
      </c>
      <c r="Y45" s="2">
        <f t="shared" si="13"/>
        <v>16640</v>
      </c>
      <c r="Z45" s="2">
        <f t="shared" si="14"/>
        <v>4.6222222222222218</v>
      </c>
      <c r="AA45">
        <v>1040</v>
      </c>
      <c r="AB45">
        <v>1040</v>
      </c>
      <c r="AC45" s="2">
        <f t="shared" si="15"/>
        <v>2080</v>
      </c>
      <c r="AD45" s="2">
        <f t="shared" si="16"/>
        <v>16640</v>
      </c>
      <c r="AE45" s="2">
        <f t="shared" si="17"/>
        <v>4.6222222222222218</v>
      </c>
      <c r="AF45">
        <v>1120</v>
      </c>
      <c r="AG45">
        <v>1120</v>
      </c>
      <c r="AH45" s="2">
        <f t="shared" si="18"/>
        <v>2240</v>
      </c>
      <c r="AI45" s="2">
        <f t="shared" si="19"/>
        <v>17920</v>
      </c>
      <c r="AJ45" s="2">
        <f t="shared" si="20"/>
        <v>4.9777777777777779</v>
      </c>
      <c r="AK45">
        <v>1040</v>
      </c>
      <c r="AL45">
        <v>1040</v>
      </c>
      <c r="AM45" s="2">
        <f t="shared" si="21"/>
        <v>2080</v>
      </c>
      <c r="AN45" s="2">
        <f t="shared" si="22"/>
        <v>16640</v>
      </c>
      <c r="AO45" s="2">
        <f t="shared" si="23"/>
        <v>4.6222222222222218</v>
      </c>
      <c r="AP45">
        <v>1200</v>
      </c>
      <c r="AQ45">
        <v>1200</v>
      </c>
      <c r="AR45" s="2">
        <f t="shared" si="24"/>
        <v>2400</v>
      </c>
      <c r="AS45" s="2">
        <f t="shared" si="25"/>
        <v>19200</v>
      </c>
      <c r="AT45" s="2">
        <f t="shared" si="26"/>
        <v>5.333333333333333</v>
      </c>
      <c r="AU45">
        <v>1120</v>
      </c>
      <c r="AV45">
        <v>1120</v>
      </c>
      <c r="AW45" s="2">
        <f t="shared" si="27"/>
        <v>2240</v>
      </c>
      <c r="AX45" s="2">
        <f t="shared" si="28"/>
        <v>17920</v>
      </c>
      <c r="AY45" s="2">
        <f t="shared" si="29"/>
        <v>4.9777777777777779</v>
      </c>
    </row>
    <row r="46" spans="1:51" x14ac:dyDescent="0.3">
      <c r="A46" s="2" t="s">
        <v>50</v>
      </c>
      <c r="B46" s="2">
        <v>960</v>
      </c>
      <c r="C46" s="2">
        <v>960</v>
      </c>
      <c r="D46" s="2">
        <f t="shared" si="0"/>
        <v>1920</v>
      </c>
      <c r="E46" s="2">
        <f t="shared" si="1"/>
        <v>15360</v>
      </c>
      <c r="F46" s="2">
        <f t="shared" si="2"/>
        <v>4.2666666666666666</v>
      </c>
      <c r="G46">
        <v>1040</v>
      </c>
      <c r="H46">
        <v>1040</v>
      </c>
      <c r="I46" s="2">
        <f t="shared" si="3"/>
        <v>2080</v>
      </c>
      <c r="J46" s="2">
        <f t="shared" si="4"/>
        <v>16640</v>
      </c>
      <c r="K46" s="2">
        <f t="shared" si="5"/>
        <v>4.6222222222222218</v>
      </c>
      <c r="L46">
        <v>1040</v>
      </c>
      <c r="M46">
        <v>1040</v>
      </c>
      <c r="N46" s="2">
        <f t="shared" si="6"/>
        <v>2080</v>
      </c>
      <c r="O46" s="2">
        <f t="shared" si="7"/>
        <v>16640</v>
      </c>
      <c r="P46" s="2">
        <f t="shared" si="8"/>
        <v>4.6222222222222218</v>
      </c>
      <c r="Q46">
        <v>1120</v>
      </c>
      <c r="R46">
        <v>1120</v>
      </c>
      <c r="S46" s="2">
        <f t="shared" si="9"/>
        <v>2240</v>
      </c>
      <c r="T46" s="2">
        <f t="shared" si="10"/>
        <v>17920</v>
      </c>
      <c r="U46" s="2">
        <f t="shared" si="11"/>
        <v>4.9777777777777779</v>
      </c>
      <c r="V46">
        <v>1120</v>
      </c>
      <c r="W46">
        <v>1120</v>
      </c>
      <c r="X46" s="2">
        <f t="shared" si="12"/>
        <v>2240</v>
      </c>
      <c r="Y46" s="2">
        <f t="shared" si="13"/>
        <v>17920</v>
      </c>
      <c r="Z46" s="2">
        <f t="shared" si="14"/>
        <v>4.9777777777777779</v>
      </c>
      <c r="AA46">
        <v>1120</v>
      </c>
      <c r="AB46">
        <v>1120</v>
      </c>
      <c r="AC46" s="2">
        <f t="shared" si="15"/>
        <v>2240</v>
      </c>
      <c r="AD46" s="2">
        <f t="shared" si="16"/>
        <v>17920</v>
      </c>
      <c r="AE46" s="2">
        <f t="shared" si="17"/>
        <v>4.9777777777777779</v>
      </c>
      <c r="AF46">
        <v>1040</v>
      </c>
      <c r="AG46">
        <v>1040</v>
      </c>
      <c r="AH46" s="2">
        <f t="shared" si="18"/>
        <v>2080</v>
      </c>
      <c r="AI46" s="2">
        <f t="shared" si="19"/>
        <v>16640</v>
      </c>
      <c r="AJ46" s="2">
        <f t="shared" si="20"/>
        <v>4.6222222222222218</v>
      </c>
      <c r="AK46">
        <v>1040</v>
      </c>
      <c r="AL46">
        <v>1040</v>
      </c>
      <c r="AM46" s="2">
        <f t="shared" si="21"/>
        <v>2080</v>
      </c>
      <c r="AN46" s="2">
        <f t="shared" si="22"/>
        <v>16640</v>
      </c>
      <c r="AO46" s="2">
        <f t="shared" si="23"/>
        <v>4.6222222222222218</v>
      </c>
      <c r="AP46">
        <v>1040</v>
      </c>
      <c r="AQ46">
        <v>1040</v>
      </c>
      <c r="AR46" s="2">
        <f t="shared" si="24"/>
        <v>2080</v>
      </c>
      <c r="AS46" s="2">
        <f t="shared" si="25"/>
        <v>16640</v>
      </c>
      <c r="AT46" s="2">
        <f t="shared" si="26"/>
        <v>4.6222222222222218</v>
      </c>
      <c r="AU46">
        <v>1200</v>
      </c>
      <c r="AV46">
        <v>1200</v>
      </c>
      <c r="AW46" s="2">
        <f t="shared" si="27"/>
        <v>2400</v>
      </c>
      <c r="AX46" s="2">
        <f t="shared" si="28"/>
        <v>19200</v>
      </c>
      <c r="AY46" s="2">
        <f t="shared" si="29"/>
        <v>5.333333333333333</v>
      </c>
    </row>
    <row r="47" spans="1:51" x14ac:dyDescent="0.3">
      <c r="A47" s="2" t="s">
        <v>51</v>
      </c>
      <c r="B47" s="2">
        <v>1280</v>
      </c>
      <c r="C47" s="2">
        <v>1280</v>
      </c>
      <c r="D47" s="2">
        <f t="shared" si="0"/>
        <v>2560</v>
      </c>
      <c r="E47" s="2">
        <f t="shared" si="1"/>
        <v>20480</v>
      </c>
      <c r="F47" s="2">
        <f t="shared" si="2"/>
        <v>5.6888888888888891</v>
      </c>
      <c r="G47">
        <v>1040</v>
      </c>
      <c r="H47">
        <v>1040</v>
      </c>
      <c r="I47" s="2">
        <f t="shared" si="3"/>
        <v>2080</v>
      </c>
      <c r="J47" s="2">
        <f t="shared" si="4"/>
        <v>16640</v>
      </c>
      <c r="K47" s="2">
        <f t="shared" si="5"/>
        <v>4.6222222222222218</v>
      </c>
      <c r="L47">
        <v>1120</v>
      </c>
      <c r="M47">
        <v>1120</v>
      </c>
      <c r="N47" s="2">
        <f t="shared" si="6"/>
        <v>2240</v>
      </c>
      <c r="O47" s="2">
        <f t="shared" si="7"/>
        <v>17920</v>
      </c>
      <c r="P47" s="2">
        <f t="shared" si="8"/>
        <v>4.9777777777777779</v>
      </c>
      <c r="Q47">
        <v>1280</v>
      </c>
      <c r="R47">
        <v>1280</v>
      </c>
      <c r="S47" s="2">
        <f t="shared" si="9"/>
        <v>2560</v>
      </c>
      <c r="T47" s="2">
        <f t="shared" si="10"/>
        <v>20480</v>
      </c>
      <c r="U47" s="2">
        <f t="shared" si="11"/>
        <v>5.6888888888888891</v>
      </c>
      <c r="V47">
        <v>1280</v>
      </c>
      <c r="W47">
        <v>1280</v>
      </c>
      <c r="X47" s="2">
        <f t="shared" si="12"/>
        <v>2560</v>
      </c>
      <c r="Y47" s="2">
        <f t="shared" si="13"/>
        <v>20480</v>
      </c>
      <c r="Z47" s="2">
        <f t="shared" si="14"/>
        <v>5.6888888888888891</v>
      </c>
      <c r="AA47">
        <v>1120</v>
      </c>
      <c r="AB47">
        <v>1120</v>
      </c>
      <c r="AC47" s="2">
        <f t="shared" si="15"/>
        <v>2240</v>
      </c>
      <c r="AD47" s="2">
        <f t="shared" si="16"/>
        <v>17920</v>
      </c>
      <c r="AE47" s="2">
        <f t="shared" si="17"/>
        <v>4.9777777777777779</v>
      </c>
      <c r="AF47">
        <v>1040</v>
      </c>
      <c r="AG47">
        <v>1040</v>
      </c>
      <c r="AH47" s="2">
        <f t="shared" si="18"/>
        <v>2080</v>
      </c>
      <c r="AI47" s="2">
        <f t="shared" si="19"/>
        <v>16640</v>
      </c>
      <c r="AJ47" s="2">
        <f t="shared" si="20"/>
        <v>4.6222222222222218</v>
      </c>
      <c r="AK47">
        <v>1200</v>
      </c>
      <c r="AL47">
        <v>1200</v>
      </c>
      <c r="AM47" s="2">
        <f t="shared" si="21"/>
        <v>2400</v>
      </c>
      <c r="AN47" s="2">
        <f t="shared" si="22"/>
        <v>19200</v>
      </c>
      <c r="AO47" s="2">
        <f t="shared" si="23"/>
        <v>5.333333333333333</v>
      </c>
      <c r="AP47">
        <v>1040</v>
      </c>
      <c r="AQ47">
        <v>1040</v>
      </c>
      <c r="AR47" s="2">
        <f t="shared" si="24"/>
        <v>2080</v>
      </c>
      <c r="AS47" s="2">
        <f t="shared" si="25"/>
        <v>16640</v>
      </c>
      <c r="AT47" s="2">
        <f t="shared" si="26"/>
        <v>4.6222222222222218</v>
      </c>
      <c r="AU47">
        <v>800</v>
      </c>
      <c r="AV47">
        <v>800</v>
      </c>
      <c r="AW47" s="2">
        <f t="shared" si="27"/>
        <v>1600</v>
      </c>
      <c r="AX47" s="2">
        <f t="shared" si="28"/>
        <v>12800</v>
      </c>
      <c r="AY47" s="2">
        <f t="shared" si="29"/>
        <v>3.5555555555555554</v>
      </c>
    </row>
    <row r="48" spans="1:51" x14ac:dyDescent="0.3">
      <c r="A48" s="2" t="s">
        <v>52</v>
      </c>
      <c r="B48" s="2">
        <v>1120</v>
      </c>
      <c r="C48" s="2">
        <v>1120</v>
      </c>
      <c r="D48" s="2">
        <f t="shared" si="0"/>
        <v>2240</v>
      </c>
      <c r="E48" s="2">
        <f t="shared" si="1"/>
        <v>17920</v>
      </c>
      <c r="F48" s="2">
        <f t="shared" si="2"/>
        <v>4.9777777777777779</v>
      </c>
      <c r="G48">
        <v>1040</v>
      </c>
      <c r="H48">
        <v>1040</v>
      </c>
      <c r="I48" s="2">
        <f t="shared" si="3"/>
        <v>2080</v>
      </c>
      <c r="J48" s="2">
        <f t="shared" si="4"/>
        <v>16640</v>
      </c>
      <c r="K48" s="2">
        <f t="shared" si="5"/>
        <v>4.6222222222222218</v>
      </c>
      <c r="L48">
        <v>720</v>
      </c>
      <c r="M48">
        <v>720</v>
      </c>
      <c r="N48" s="2">
        <f t="shared" si="6"/>
        <v>1440</v>
      </c>
      <c r="O48" s="2">
        <f t="shared" si="7"/>
        <v>11520</v>
      </c>
      <c r="P48" s="2">
        <f t="shared" si="8"/>
        <v>3.2</v>
      </c>
      <c r="Q48">
        <v>1120</v>
      </c>
      <c r="R48">
        <v>1120</v>
      </c>
      <c r="S48" s="2">
        <f t="shared" si="9"/>
        <v>2240</v>
      </c>
      <c r="T48" s="2">
        <f t="shared" si="10"/>
        <v>17920</v>
      </c>
      <c r="U48" s="2">
        <f t="shared" si="11"/>
        <v>4.9777777777777779</v>
      </c>
      <c r="V48">
        <v>1120</v>
      </c>
      <c r="W48">
        <v>1120</v>
      </c>
      <c r="X48" s="2">
        <f t="shared" si="12"/>
        <v>2240</v>
      </c>
      <c r="Y48" s="2">
        <f t="shared" si="13"/>
        <v>17920</v>
      </c>
      <c r="Z48" s="2">
        <f t="shared" si="14"/>
        <v>4.9777777777777779</v>
      </c>
      <c r="AA48">
        <v>1040</v>
      </c>
      <c r="AB48">
        <v>1040</v>
      </c>
      <c r="AC48" s="2">
        <f t="shared" si="15"/>
        <v>2080</v>
      </c>
      <c r="AD48" s="2">
        <f t="shared" si="16"/>
        <v>16640</v>
      </c>
      <c r="AE48" s="2">
        <f t="shared" si="17"/>
        <v>4.6222222222222218</v>
      </c>
      <c r="AF48">
        <v>880</v>
      </c>
      <c r="AG48">
        <v>880</v>
      </c>
      <c r="AH48" s="2">
        <f t="shared" si="18"/>
        <v>1760</v>
      </c>
      <c r="AI48" s="2">
        <f t="shared" si="19"/>
        <v>14080</v>
      </c>
      <c r="AJ48" s="2">
        <f t="shared" si="20"/>
        <v>3.911111111111111</v>
      </c>
      <c r="AK48">
        <v>880</v>
      </c>
      <c r="AL48">
        <v>880</v>
      </c>
      <c r="AM48" s="2">
        <f t="shared" si="21"/>
        <v>1760</v>
      </c>
      <c r="AN48" s="2">
        <f t="shared" si="22"/>
        <v>14080</v>
      </c>
      <c r="AO48" s="2">
        <f t="shared" si="23"/>
        <v>3.911111111111111</v>
      </c>
      <c r="AP48">
        <v>960</v>
      </c>
      <c r="AQ48">
        <v>960</v>
      </c>
      <c r="AR48" s="2">
        <f t="shared" si="24"/>
        <v>1920</v>
      </c>
      <c r="AS48" s="2">
        <f t="shared" si="25"/>
        <v>15360</v>
      </c>
      <c r="AT48" s="2">
        <f t="shared" si="26"/>
        <v>4.2666666666666666</v>
      </c>
      <c r="AU48">
        <v>960</v>
      </c>
      <c r="AV48">
        <v>960</v>
      </c>
      <c r="AW48" s="2">
        <f t="shared" si="27"/>
        <v>1920</v>
      </c>
      <c r="AX48" s="2">
        <f t="shared" si="28"/>
        <v>15360</v>
      </c>
      <c r="AY48" s="2">
        <f t="shared" si="29"/>
        <v>4.2666666666666666</v>
      </c>
    </row>
    <row r="49" spans="1:51" x14ac:dyDescent="0.3">
      <c r="A49" s="2" t="s">
        <v>53</v>
      </c>
      <c r="B49" s="2">
        <v>880</v>
      </c>
      <c r="C49" s="2">
        <v>880</v>
      </c>
      <c r="D49" s="2">
        <f t="shared" si="0"/>
        <v>1760</v>
      </c>
      <c r="E49" s="2">
        <f t="shared" si="1"/>
        <v>14080</v>
      </c>
      <c r="F49" s="2">
        <f t="shared" si="2"/>
        <v>3.911111111111111</v>
      </c>
      <c r="G49">
        <v>1280</v>
      </c>
      <c r="H49">
        <v>1280</v>
      </c>
      <c r="I49" s="2">
        <f t="shared" si="3"/>
        <v>2560</v>
      </c>
      <c r="J49" s="2">
        <f t="shared" si="4"/>
        <v>20480</v>
      </c>
      <c r="K49" s="2">
        <f t="shared" si="5"/>
        <v>5.6888888888888891</v>
      </c>
      <c r="L49">
        <v>1200</v>
      </c>
      <c r="M49">
        <v>1200</v>
      </c>
      <c r="N49" s="2">
        <f t="shared" si="6"/>
        <v>2400</v>
      </c>
      <c r="O49" s="2">
        <f t="shared" si="7"/>
        <v>19200</v>
      </c>
      <c r="P49" s="2">
        <f t="shared" si="8"/>
        <v>5.333333333333333</v>
      </c>
      <c r="Q49">
        <v>1200</v>
      </c>
      <c r="R49">
        <v>1200</v>
      </c>
      <c r="S49" s="2">
        <f t="shared" si="9"/>
        <v>2400</v>
      </c>
      <c r="T49" s="2">
        <f t="shared" si="10"/>
        <v>19200</v>
      </c>
      <c r="U49" s="2">
        <f t="shared" si="11"/>
        <v>5.333333333333333</v>
      </c>
      <c r="V49">
        <v>1200</v>
      </c>
      <c r="W49">
        <v>1200</v>
      </c>
      <c r="X49" s="2">
        <f t="shared" si="12"/>
        <v>2400</v>
      </c>
      <c r="Y49" s="2">
        <f t="shared" si="13"/>
        <v>19200</v>
      </c>
      <c r="Z49" s="2">
        <f t="shared" si="14"/>
        <v>5.333333333333333</v>
      </c>
      <c r="AA49">
        <v>960</v>
      </c>
      <c r="AB49">
        <v>960</v>
      </c>
      <c r="AC49" s="2">
        <f t="shared" si="15"/>
        <v>1920</v>
      </c>
      <c r="AD49" s="2">
        <f t="shared" si="16"/>
        <v>15360</v>
      </c>
      <c r="AE49" s="2">
        <f t="shared" si="17"/>
        <v>4.2666666666666666</v>
      </c>
      <c r="AF49">
        <v>1200</v>
      </c>
      <c r="AG49">
        <v>1200</v>
      </c>
      <c r="AH49" s="2">
        <f t="shared" si="18"/>
        <v>2400</v>
      </c>
      <c r="AI49" s="2">
        <f t="shared" si="19"/>
        <v>19200</v>
      </c>
      <c r="AJ49" s="2">
        <f t="shared" si="20"/>
        <v>5.333333333333333</v>
      </c>
      <c r="AK49">
        <v>1120</v>
      </c>
      <c r="AL49">
        <v>1120</v>
      </c>
      <c r="AM49" s="2">
        <f t="shared" si="21"/>
        <v>2240</v>
      </c>
      <c r="AN49" s="2">
        <f t="shared" si="22"/>
        <v>17920</v>
      </c>
      <c r="AO49" s="2">
        <f t="shared" si="23"/>
        <v>4.9777777777777779</v>
      </c>
      <c r="AP49">
        <v>1120</v>
      </c>
      <c r="AQ49">
        <v>1120</v>
      </c>
      <c r="AR49" s="2">
        <f t="shared" si="24"/>
        <v>2240</v>
      </c>
      <c r="AS49" s="2">
        <f t="shared" si="25"/>
        <v>17920</v>
      </c>
      <c r="AT49" s="2">
        <f t="shared" si="26"/>
        <v>4.9777777777777779</v>
      </c>
      <c r="AU49">
        <v>1120</v>
      </c>
      <c r="AV49">
        <v>1120</v>
      </c>
      <c r="AW49" s="2">
        <f t="shared" si="27"/>
        <v>2240</v>
      </c>
      <c r="AX49" s="2">
        <f t="shared" si="28"/>
        <v>17920</v>
      </c>
      <c r="AY49" s="2">
        <f t="shared" si="29"/>
        <v>4.9777777777777779</v>
      </c>
    </row>
    <row r="50" spans="1:51" x14ac:dyDescent="0.3">
      <c r="A50" s="2" t="s">
        <v>54</v>
      </c>
      <c r="B50" s="2">
        <v>1040</v>
      </c>
      <c r="C50" s="2">
        <v>1040</v>
      </c>
      <c r="D50" s="2">
        <f t="shared" si="0"/>
        <v>2080</v>
      </c>
      <c r="E50" s="2">
        <f t="shared" si="1"/>
        <v>16640</v>
      </c>
      <c r="F50" s="2">
        <f t="shared" si="2"/>
        <v>4.6222222222222218</v>
      </c>
      <c r="G50">
        <v>1280</v>
      </c>
      <c r="H50">
        <v>1280</v>
      </c>
      <c r="I50" s="2">
        <f t="shared" si="3"/>
        <v>2560</v>
      </c>
      <c r="J50" s="2">
        <f t="shared" si="4"/>
        <v>20480</v>
      </c>
      <c r="K50" s="2">
        <f t="shared" si="5"/>
        <v>5.6888888888888891</v>
      </c>
      <c r="L50">
        <v>1040</v>
      </c>
      <c r="M50">
        <v>1040</v>
      </c>
      <c r="N50" s="2">
        <f t="shared" si="6"/>
        <v>2080</v>
      </c>
      <c r="O50" s="2">
        <f t="shared" si="7"/>
        <v>16640</v>
      </c>
      <c r="P50" s="2">
        <f t="shared" si="8"/>
        <v>4.6222222222222218</v>
      </c>
      <c r="Q50">
        <v>1200</v>
      </c>
      <c r="R50">
        <v>1200</v>
      </c>
      <c r="S50" s="2">
        <f t="shared" si="9"/>
        <v>2400</v>
      </c>
      <c r="T50" s="2">
        <f t="shared" si="10"/>
        <v>19200</v>
      </c>
      <c r="U50" s="2">
        <f t="shared" si="11"/>
        <v>5.333333333333333</v>
      </c>
      <c r="V50">
        <v>1200</v>
      </c>
      <c r="W50">
        <v>1200</v>
      </c>
      <c r="X50" s="2">
        <f t="shared" si="12"/>
        <v>2400</v>
      </c>
      <c r="Y50" s="2">
        <f t="shared" si="13"/>
        <v>19200</v>
      </c>
      <c r="Z50" s="2">
        <f t="shared" si="14"/>
        <v>5.333333333333333</v>
      </c>
      <c r="AA50">
        <v>1120</v>
      </c>
      <c r="AB50">
        <v>1120</v>
      </c>
      <c r="AC50" s="2">
        <f t="shared" si="15"/>
        <v>2240</v>
      </c>
      <c r="AD50" s="2">
        <f t="shared" si="16"/>
        <v>17920</v>
      </c>
      <c r="AE50" s="2">
        <f t="shared" si="17"/>
        <v>4.9777777777777779</v>
      </c>
      <c r="AF50">
        <v>1200</v>
      </c>
      <c r="AG50">
        <v>1200</v>
      </c>
      <c r="AH50" s="2">
        <f t="shared" si="18"/>
        <v>2400</v>
      </c>
      <c r="AI50" s="2">
        <f t="shared" si="19"/>
        <v>19200</v>
      </c>
      <c r="AJ50" s="2">
        <f t="shared" si="20"/>
        <v>5.333333333333333</v>
      </c>
      <c r="AK50">
        <v>1200</v>
      </c>
      <c r="AL50">
        <v>1200</v>
      </c>
      <c r="AM50" s="2">
        <f t="shared" si="21"/>
        <v>2400</v>
      </c>
      <c r="AN50" s="2">
        <f t="shared" si="22"/>
        <v>19200</v>
      </c>
      <c r="AO50" s="2">
        <f t="shared" si="23"/>
        <v>5.333333333333333</v>
      </c>
      <c r="AP50">
        <v>1120</v>
      </c>
      <c r="AQ50">
        <v>1120</v>
      </c>
      <c r="AR50" s="2">
        <f t="shared" si="24"/>
        <v>2240</v>
      </c>
      <c r="AS50" s="2">
        <f t="shared" si="25"/>
        <v>17920</v>
      </c>
      <c r="AT50" s="2">
        <f t="shared" si="26"/>
        <v>4.9777777777777779</v>
      </c>
      <c r="AU50">
        <v>1200</v>
      </c>
      <c r="AV50">
        <v>1200</v>
      </c>
      <c r="AW50" s="2">
        <f t="shared" si="27"/>
        <v>2400</v>
      </c>
      <c r="AX50" s="2">
        <f t="shared" si="28"/>
        <v>19200</v>
      </c>
      <c r="AY50" s="2">
        <f t="shared" si="29"/>
        <v>5.333333333333333</v>
      </c>
    </row>
    <row r="51" spans="1:51" x14ac:dyDescent="0.3">
      <c r="A51" s="2" t="s">
        <v>55</v>
      </c>
      <c r="B51" s="2">
        <v>1200</v>
      </c>
      <c r="C51" s="2">
        <v>1200</v>
      </c>
      <c r="D51" s="2">
        <f t="shared" si="0"/>
        <v>2400</v>
      </c>
      <c r="E51" s="2">
        <f t="shared" si="1"/>
        <v>19200</v>
      </c>
      <c r="F51" s="2">
        <f t="shared" si="2"/>
        <v>5.333333333333333</v>
      </c>
      <c r="G51">
        <v>960</v>
      </c>
      <c r="H51">
        <v>960</v>
      </c>
      <c r="I51" s="2">
        <f t="shared" si="3"/>
        <v>1920</v>
      </c>
      <c r="J51" s="2">
        <f t="shared" si="4"/>
        <v>15360</v>
      </c>
      <c r="K51" s="2">
        <f t="shared" si="5"/>
        <v>4.2666666666666666</v>
      </c>
      <c r="L51">
        <v>1120</v>
      </c>
      <c r="M51">
        <v>1120</v>
      </c>
      <c r="N51" s="2">
        <f t="shared" si="6"/>
        <v>2240</v>
      </c>
      <c r="O51" s="2">
        <f t="shared" si="7"/>
        <v>17920</v>
      </c>
      <c r="P51" s="2">
        <f t="shared" si="8"/>
        <v>4.9777777777777779</v>
      </c>
      <c r="Q51">
        <v>1120</v>
      </c>
      <c r="R51">
        <v>1120</v>
      </c>
      <c r="S51" s="2">
        <f t="shared" si="9"/>
        <v>2240</v>
      </c>
      <c r="T51" s="2">
        <f t="shared" si="10"/>
        <v>17920</v>
      </c>
      <c r="U51" s="2">
        <f t="shared" si="11"/>
        <v>4.9777777777777779</v>
      </c>
      <c r="V51">
        <v>1120</v>
      </c>
      <c r="W51">
        <v>1120</v>
      </c>
      <c r="X51" s="2">
        <f t="shared" si="12"/>
        <v>2240</v>
      </c>
      <c r="Y51" s="2">
        <f t="shared" si="13"/>
        <v>17920</v>
      </c>
      <c r="Z51" s="2">
        <f t="shared" si="14"/>
        <v>4.9777777777777779</v>
      </c>
      <c r="AA51">
        <v>880</v>
      </c>
      <c r="AB51">
        <v>880</v>
      </c>
      <c r="AC51" s="2">
        <f t="shared" si="15"/>
        <v>1760</v>
      </c>
      <c r="AD51" s="2">
        <f t="shared" si="16"/>
        <v>14080</v>
      </c>
      <c r="AE51" s="2">
        <f t="shared" si="17"/>
        <v>3.911111111111111</v>
      </c>
      <c r="AF51">
        <v>960</v>
      </c>
      <c r="AG51">
        <v>960</v>
      </c>
      <c r="AH51" s="2">
        <f t="shared" si="18"/>
        <v>1920</v>
      </c>
      <c r="AI51" s="2">
        <f t="shared" si="19"/>
        <v>15360</v>
      </c>
      <c r="AJ51" s="2">
        <f t="shared" si="20"/>
        <v>4.2666666666666666</v>
      </c>
      <c r="AK51">
        <v>1040</v>
      </c>
      <c r="AL51">
        <v>1040</v>
      </c>
      <c r="AM51" s="2">
        <f t="shared" si="21"/>
        <v>2080</v>
      </c>
      <c r="AN51" s="2">
        <f t="shared" si="22"/>
        <v>16640</v>
      </c>
      <c r="AO51" s="2">
        <f t="shared" si="23"/>
        <v>4.6222222222222218</v>
      </c>
      <c r="AP51">
        <v>1200</v>
      </c>
      <c r="AQ51">
        <v>1200</v>
      </c>
      <c r="AR51" s="2">
        <f t="shared" si="24"/>
        <v>2400</v>
      </c>
      <c r="AS51" s="2">
        <f t="shared" si="25"/>
        <v>19200</v>
      </c>
      <c r="AT51" s="2">
        <f t="shared" si="26"/>
        <v>5.333333333333333</v>
      </c>
      <c r="AU51">
        <v>1280</v>
      </c>
      <c r="AV51">
        <v>1280</v>
      </c>
      <c r="AW51" s="2">
        <f t="shared" si="27"/>
        <v>2560</v>
      </c>
      <c r="AX51" s="2">
        <f t="shared" si="28"/>
        <v>20480</v>
      </c>
      <c r="AY51" s="2">
        <f t="shared" si="29"/>
        <v>5.6888888888888891</v>
      </c>
    </row>
    <row r="52" spans="1:51" x14ac:dyDescent="0.3">
      <c r="A52" s="2" t="s">
        <v>56</v>
      </c>
      <c r="B52" s="2">
        <v>1120</v>
      </c>
      <c r="C52" s="2">
        <v>1120</v>
      </c>
      <c r="D52" s="2">
        <f t="shared" si="0"/>
        <v>2240</v>
      </c>
      <c r="E52" s="2">
        <f t="shared" si="1"/>
        <v>17920</v>
      </c>
      <c r="F52" s="2">
        <f t="shared" si="2"/>
        <v>4.9777777777777779</v>
      </c>
      <c r="G52">
        <v>1200</v>
      </c>
      <c r="H52">
        <v>1200</v>
      </c>
      <c r="I52" s="2">
        <f t="shared" si="3"/>
        <v>2400</v>
      </c>
      <c r="J52" s="2">
        <f t="shared" si="4"/>
        <v>19200</v>
      </c>
      <c r="K52" s="2">
        <f t="shared" si="5"/>
        <v>5.333333333333333</v>
      </c>
      <c r="L52">
        <v>960</v>
      </c>
      <c r="M52">
        <v>960</v>
      </c>
      <c r="N52" s="2">
        <f t="shared" si="6"/>
        <v>1920</v>
      </c>
      <c r="O52" s="2">
        <f t="shared" si="7"/>
        <v>15360</v>
      </c>
      <c r="P52" s="2">
        <f t="shared" si="8"/>
        <v>4.2666666666666666</v>
      </c>
      <c r="Q52">
        <v>1040</v>
      </c>
      <c r="R52">
        <v>1040</v>
      </c>
      <c r="S52" s="2">
        <f t="shared" si="9"/>
        <v>2080</v>
      </c>
      <c r="T52" s="2">
        <f t="shared" si="10"/>
        <v>16640</v>
      </c>
      <c r="U52" s="2">
        <f t="shared" si="11"/>
        <v>4.6222222222222218</v>
      </c>
      <c r="V52">
        <v>1040</v>
      </c>
      <c r="W52">
        <v>1040</v>
      </c>
      <c r="X52" s="2">
        <f t="shared" si="12"/>
        <v>2080</v>
      </c>
      <c r="Y52" s="2">
        <f t="shared" si="13"/>
        <v>16640</v>
      </c>
      <c r="Z52" s="2">
        <f t="shared" si="14"/>
        <v>4.6222222222222218</v>
      </c>
      <c r="AA52">
        <v>1040</v>
      </c>
      <c r="AB52">
        <v>1040</v>
      </c>
      <c r="AC52" s="2">
        <f t="shared" si="15"/>
        <v>2080</v>
      </c>
      <c r="AD52" s="2">
        <f t="shared" si="16"/>
        <v>16640</v>
      </c>
      <c r="AE52" s="2">
        <f t="shared" si="17"/>
        <v>4.6222222222222218</v>
      </c>
      <c r="AF52">
        <v>1200</v>
      </c>
      <c r="AG52">
        <v>1200</v>
      </c>
      <c r="AH52" s="2">
        <f t="shared" si="18"/>
        <v>2400</v>
      </c>
      <c r="AI52" s="2">
        <f t="shared" si="19"/>
        <v>19200</v>
      </c>
      <c r="AJ52" s="2">
        <f t="shared" si="20"/>
        <v>5.333333333333333</v>
      </c>
      <c r="AK52">
        <v>1120</v>
      </c>
      <c r="AL52">
        <v>1120</v>
      </c>
      <c r="AM52" s="2">
        <f t="shared" si="21"/>
        <v>2240</v>
      </c>
      <c r="AN52" s="2">
        <f t="shared" si="22"/>
        <v>17920</v>
      </c>
      <c r="AO52" s="2">
        <f t="shared" si="23"/>
        <v>4.9777777777777779</v>
      </c>
      <c r="AP52">
        <v>1120</v>
      </c>
      <c r="AQ52">
        <v>1120</v>
      </c>
      <c r="AR52" s="2">
        <f t="shared" si="24"/>
        <v>2240</v>
      </c>
      <c r="AS52" s="2">
        <f t="shared" si="25"/>
        <v>17920</v>
      </c>
      <c r="AT52" s="2">
        <f t="shared" si="26"/>
        <v>4.9777777777777779</v>
      </c>
      <c r="AU52">
        <v>1120</v>
      </c>
      <c r="AV52">
        <v>1120</v>
      </c>
      <c r="AW52" s="2">
        <f t="shared" si="27"/>
        <v>2240</v>
      </c>
      <c r="AX52" s="2">
        <f t="shared" si="28"/>
        <v>17920</v>
      </c>
      <c r="AY52" s="2">
        <f t="shared" si="29"/>
        <v>4.9777777777777779</v>
      </c>
    </row>
    <row r="53" spans="1:51" x14ac:dyDescent="0.3">
      <c r="A53" s="2" t="s">
        <v>57</v>
      </c>
      <c r="B53" s="2">
        <v>1040</v>
      </c>
      <c r="C53" s="2">
        <v>1040</v>
      </c>
      <c r="D53" s="2">
        <f t="shared" si="0"/>
        <v>2080</v>
      </c>
      <c r="E53" s="2">
        <f t="shared" si="1"/>
        <v>16640</v>
      </c>
      <c r="F53" s="2">
        <f t="shared" si="2"/>
        <v>4.6222222222222218</v>
      </c>
      <c r="G53">
        <v>960</v>
      </c>
      <c r="H53">
        <v>960</v>
      </c>
      <c r="I53" s="2">
        <f t="shared" si="3"/>
        <v>1920</v>
      </c>
      <c r="J53" s="2">
        <f t="shared" si="4"/>
        <v>15360</v>
      </c>
      <c r="K53" s="2">
        <f t="shared" si="5"/>
        <v>4.2666666666666666</v>
      </c>
      <c r="L53">
        <v>1040</v>
      </c>
      <c r="M53">
        <v>1040</v>
      </c>
      <c r="N53" s="2">
        <f t="shared" si="6"/>
        <v>2080</v>
      </c>
      <c r="O53" s="2">
        <f t="shared" si="7"/>
        <v>16640</v>
      </c>
      <c r="P53" s="2">
        <f t="shared" si="8"/>
        <v>4.6222222222222218</v>
      </c>
      <c r="Q53">
        <v>1120</v>
      </c>
      <c r="R53">
        <v>1120</v>
      </c>
      <c r="S53" s="2">
        <f t="shared" si="9"/>
        <v>2240</v>
      </c>
      <c r="T53" s="2">
        <f t="shared" si="10"/>
        <v>17920</v>
      </c>
      <c r="U53" s="2">
        <f t="shared" si="11"/>
        <v>4.9777777777777779</v>
      </c>
      <c r="V53">
        <v>1120</v>
      </c>
      <c r="W53">
        <v>1120</v>
      </c>
      <c r="X53" s="2">
        <f t="shared" si="12"/>
        <v>2240</v>
      </c>
      <c r="Y53" s="2">
        <f t="shared" si="13"/>
        <v>17920</v>
      </c>
      <c r="Z53" s="2">
        <f t="shared" si="14"/>
        <v>4.9777777777777779</v>
      </c>
      <c r="AA53">
        <v>1120</v>
      </c>
      <c r="AB53">
        <v>1120</v>
      </c>
      <c r="AC53" s="2">
        <f t="shared" si="15"/>
        <v>2240</v>
      </c>
      <c r="AD53" s="2">
        <f t="shared" si="16"/>
        <v>17920</v>
      </c>
      <c r="AE53" s="2">
        <f t="shared" si="17"/>
        <v>4.9777777777777779</v>
      </c>
      <c r="AF53">
        <v>1120</v>
      </c>
      <c r="AG53">
        <v>1120</v>
      </c>
      <c r="AH53" s="2">
        <f t="shared" si="18"/>
        <v>2240</v>
      </c>
      <c r="AI53" s="2">
        <f t="shared" si="19"/>
        <v>17920</v>
      </c>
      <c r="AJ53" s="2">
        <f t="shared" si="20"/>
        <v>4.9777777777777779</v>
      </c>
      <c r="AK53">
        <v>880</v>
      </c>
      <c r="AL53">
        <v>880</v>
      </c>
      <c r="AM53" s="2">
        <f t="shared" si="21"/>
        <v>1760</v>
      </c>
      <c r="AN53" s="2">
        <f t="shared" si="22"/>
        <v>14080</v>
      </c>
      <c r="AO53" s="2">
        <f t="shared" si="23"/>
        <v>3.911111111111111</v>
      </c>
      <c r="AP53">
        <v>720</v>
      </c>
      <c r="AQ53">
        <v>720</v>
      </c>
      <c r="AR53" s="2">
        <f t="shared" si="24"/>
        <v>1440</v>
      </c>
      <c r="AS53" s="2">
        <f t="shared" si="25"/>
        <v>11520</v>
      </c>
      <c r="AT53" s="2">
        <f t="shared" si="26"/>
        <v>3.2</v>
      </c>
      <c r="AU53">
        <v>880</v>
      </c>
      <c r="AV53">
        <v>880</v>
      </c>
      <c r="AW53" s="2">
        <f t="shared" si="27"/>
        <v>1760</v>
      </c>
      <c r="AX53" s="2">
        <f t="shared" si="28"/>
        <v>14080</v>
      </c>
      <c r="AY53" s="2">
        <f t="shared" si="29"/>
        <v>3.911111111111111</v>
      </c>
    </row>
    <row r="54" spans="1:51" x14ac:dyDescent="0.3">
      <c r="A54" s="2" t="s">
        <v>58</v>
      </c>
      <c r="B54" s="2">
        <v>1120</v>
      </c>
      <c r="C54" s="2">
        <v>1120</v>
      </c>
      <c r="D54" s="2">
        <f t="shared" si="0"/>
        <v>2240</v>
      </c>
      <c r="E54" s="2">
        <f t="shared" si="1"/>
        <v>17920</v>
      </c>
      <c r="F54" s="2">
        <f t="shared" si="2"/>
        <v>4.9777777777777779</v>
      </c>
      <c r="G54">
        <v>1120</v>
      </c>
      <c r="H54">
        <v>1120</v>
      </c>
      <c r="I54" s="2">
        <f t="shared" si="3"/>
        <v>2240</v>
      </c>
      <c r="J54" s="2">
        <f t="shared" si="4"/>
        <v>17920</v>
      </c>
      <c r="K54" s="2">
        <f t="shared" si="5"/>
        <v>4.9777777777777779</v>
      </c>
      <c r="L54">
        <v>1120</v>
      </c>
      <c r="M54">
        <v>1120</v>
      </c>
      <c r="N54" s="2">
        <f t="shared" si="6"/>
        <v>2240</v>
      </c>
      <c r="O54" s="2">
        <f t="shared" si="7"/>
        <v>17920</v>
      </c>
      <c r="P54" s="2">
        <f t="shared" si="8"/>
        <v>4.9777777777777779</v>
      </c>
      <c r="Q54">
        <v>720</v>
      </c>
      <c r="R54">
        <v>720</v>
      </c>
      <c r="S54" s="2">
        <f t="shared" si="9"/>
        <v>1440</v>
      </c>
      <c r="T54" s="2">
        <f t="shared" si="10"/>
        <v>11520</v>
      </c>
      <c r="U54" s="2">
        <f t="shared" si="11"/>
        <v>3.2</v>
      </c>
      <c r="V54">
        <v>720</v>
      </c>
      <c r="W54">
        <v>720</v>
      </c>
      <c r="X54" s="2">
        <f t="shared" si="12"/>
        <v>1440</v>
      </c>
      <c r="Y54" s="2">
        <f t="shared" si="13"/>
        <v>11520</v>
      </c>
      <c r="Z54" s="2">
        <f t="shared" si="14"/>
        <v>3.2</v>
      </c>
      <c r="AA54">
        <v>960</v>
      </c>
      <c r="AB54">
        <v>960</v>
      </c>
      <c r="AC54" s="2">
        <f t="shared" si="15"/>
        <v>1920</v>
      </c>
      <c r="AD54" s="2">
        <f t="shared" si="16"/>
        <v>15360</v>
      </c>
      <c r="AE54" s="2">
        <f t="shared" si="17"/>
        <v>4.2666666666666666</v>
      </c>
      <c r="AF54">
        <v>800</v>
      </c>
      <c r="AG54">
        <v>800</v>
      </c>
      <c r="AH54" s="2">
        <f t="shared" si="18"/>
        <v>1600</v>
      </c>
      <c r="AI54" s="2">
        <f t="shared" si="19"/>
        <v>12800</v>
      </c>
      <c r="AJ54" s="2">
        <f t="shared" si="20"/>
        <v>3.5555555555555554</v>
      </c>
      <c r="AK54">
        <v>1040</v>
      </c>
      <c r="AL54">
        <v>1040</v>
      </c>
      <c r="AM54" s="2">
        <f t="shared" si="21"/>
        <v>2080</v>
      </c>
      <c r="AN54" s="2">
        <f t="shared" si="22"/>
        <v>16640</v>
      </c>
      <c r="AO54" s="2">
        <f t="shared" si="23"/>
        <v>4.6222222222222218</v>
      </c>
      <c r="AP54">
        <v>960</v>
      </c>
      <c r="AQ54">
        <v>960</v>
      </c>
      <c r="AR54" s="2">
        <f t="shared" si="24"/>
        <v>1920</v>
      </c>
      <c r="AS54" s="2">
        <f t="shared" si="25"/>
        <v>15360</v>
      </c>
      <c r="AT54" s="2">
        <f t="shared" si="26"/>
        <v>4.2666666666666666</v>
      </c>
      <c r="AU54">
        <v>1040</v>
      </c>
      <c r="AV54">
        <v>1040</v>
      </c>
      <c r="AW54" s="2">
        <f t="shared" si="27"/>
        <v>2080</v>
      </c>
      <c r="AX54" s="2">
        <f t="shared" si="28"/>
        <v>16640</v>
      </c>
      <c r="AY54" s="2">
        <f t="shared" si="29"/>
        <v>4.6222222222222218</v>
      </c>
    </row>
    <row r="55" spans="1:51" x14ac:dyDescent="0.3">
      <c r="A55" s="2" t="s">
        <v>59</v>
      </c>
      <c r="B55" s="2">
        <v>1120</v>
      </c>
      <c r="C55" s="2">
        <v>1120</v>
      </c>
      <c r="D55" s="2">
        <f t="shared" si="0"/>
        <v>2240</v>
      </c>
      <c r="E55" s="2">
        <f t="shared" si="1"/>
        <v>17920</v>
      </c>
      <c r="F55" s="2">
        <f t="shared" si="2"/>
        <v>4.9777777777777779</v>
      </c>
      <c r="G55">
        <v>1120</v>
      </c>
      <c r="H55">
        <v>1120</v>
      </c>
      <c r="I55" s="2">
        <f t="shared" si="3"/>
        <v>2240</v>
      </c>
      <c r="J55" s="2">
        <f t="shared" si="4"/>
        <v>17920</v>
      </c>
      <c r="K55" s="2">
        <f t="shared" si="5"/>
        <v>4.9777777777777779</v>
      </c>
      <c r="L55">
        <v>1040</v>
      </c>
      <c r="M55">
        <v>1040</v>
      </c>
      <c r="N55" s="2">
        <f t="shared" si="6"/>
        <v>2080</v>
      </c>
      <c r="O55" s="2">
        <f t="shared" si="7"/>
        <v>16640</v>
      </c>
      <c r="P55" s="2">
        <f t="shared" si="8"/>
        <v>4.6222222222222218</v>
      </c>
      <c r="Q55">
        <v>1040</v>
      </c>
      <c r="R55">
        <v>1040</v>
      </c>
      <c r="S55" s="2">
        <f t="shared" si="9"/>
        <v>2080</v>
      </c>
      <c r="T55" s="2">
        <f t="shared" si="10"/>
        <v>16640</v>
      </c>
      <c r="U55" s="2">
        <f t="shared" si="11"/>
        <v>4.6222222222222218</v>
      </c>
      <c r="V55">
        <v>1040</v>
      </c>
      <c r="W55">
        <v>1040</v>
      </c>
      <c r="X55" s="2">
        <f t="shared" si="12"/>
        <v>2080</v>
      </c>
      <c r="Y55" s="2">
        <f t="shared" si="13"/>
        <v>16640</v>
      </c>
      <c r="Z55" s="2">
        <f t="shared" si="14"/>
        <v>4.6222222222222218</v>
      </c>
      <c r="AA55">
        <v>1040</v>
      </c>
      <c r="AB55">
        <v>1040</v>
      </c>
      <c r="AC55" s="2">
        <f t="shared" si="15"/>
        <v>2080</v>
      </c>
      <c r="AD55" s="2">
        <f t="shared" si="16"/>
        <v>16640</v>
      </c>
      <c r="AE55" s="2">
        <f t="shared" si="17"/>
        <v>4.6222222222222218</v>
      </c>
      <c r="AF55">
        <v>1040</v>
      </c>
      <c r="AG55">
        <v>1040</v>
      </c>
      <c r="AH55" s="2">
        <f t="shared" si="18"/>
        <v>2080</v>
      </c>
      <c r="AI55" s="2">
        <f t="shared" si="19"/>
        <v>16640</v>
      </c>
      <c r="AJ55" s="2">
        <f t="shared" si="20"/>
        <v>4.6222222222222218</v>
      </c>
      <c r="AK55">
        <v>960</v>
      </c>
      <c r="AL55">
        <v>960</v>
      </c>
      <c r="AM55" s="2">
        <f t="shared" si="21"/>
        <v>1920</v>
      </c>
      <c r="AN55" s="2">
        <f t="shared" si="22"/>
        <v>15360</v>
      </c>
      <c r="AO55" s="2">
        <f t="shared" si="23"/>
        <v>4.2666666666666666</v>
      </c>
      <c r="AP55">
        <v>1040</v>
      </c>
      <c r="AQ55">
        <v>1040</v>
      </c>
      <c r="AR55" s="2">
        <f t="shared" si="24"/>
        <v>2080</v>
      </c>
      <c r="AS55" s="2">
        <f t="shared" si="25"/>
        <v>16640</v>
      </c>
      <c r="AT55" s="2">
        <f t="shared" si="26"/>
        <v>4.6222222222222218</v>
      </c>
      <c r="AU55">
        <v>1040</v>
      </c>
      <c r="AV55">
        <v>1040</v>
      </c>
      <c r="AW55" s="2">
        <f t="shared" si="27"/>
        <v>2080</v>
      </c>
      <c r="AX55" s="2">
        <f t="shared" si="28"/>
        <v>16640</v>
      </c>
      <c r="AY55" s="2">
        <f t="shared" si="29"/>
        <v>4.6222222222222218</v>
      </c>
    </row>
    <row r="56" spans="1:51" x14ac:dyDescent="0.3">
      <c r="A56" s="2" t="s">
        <v>60</v>
      </c>
      <c r="B56" s="2">
        <v>960</v>
      </c>
      <c r="C56" s="2">
        <v>960</v>
      </c>
      <c r="D56" s="2">
        <f t="shared" si="0"/>
        <v>1920</v>
      </c>
      <c r="E56" s="2">
        <f t="shared" si="1"/>
        <v>15360</v>
      </c>
      <c r="F56" s="2">
        <f t="shared" si="2"/>
        <v>4.2666666666666666</v>
      </c>
      <c r="G56">
        <v>720</v>
      </c>
      <c r="H56">
        <v>720</v>
      </c>
      <c r="I56" s="2">
        <f t="shared" si="3"/>
        <v>1440</v>
      </c>
      <c r="J56" s="2">
        <f t="shared" si="4"/>
        <v>11520</v>
      </c>
      <c r="K56" s="2">
        <f t="shared" si="5"/>
        <v>3.2</v>
      </c>
      <c r="L56">
        <v>1200</v>
      </c>
      <c r="M56">
        <v>1200</v>
      </c>
      <c r="N56" s="2">
        <f t="shared" si="6"/>
        <v>2400</v>
      </c>
      <c r="O56" s="2">
        <f t="shared" si="7"/>
        <v>19200</v>
      </c>
      <c r="P56" s="2">
        <f t="shared" si="8"/>
        <v>5.333333333333333</v>
      </c>
      <c r="Q56">
        <v>1040</v>
      </c>
      <c r="R56">
        <v>1040</v>
      </c>
      <c r="S56" s="2">
        <f t="shared" si="9"/>
        <v>2080</v>
      </c>
      <c r="T56" s="2">
        <f t="shared" si="10"/>
        <v>16640</v>
      </c>
      <c r="U56" s="2">
        <f t="shared" si="11"/>
        <v>4.6222222222222218</v>
      </c>
      <c r="V56">
        <v>1040</v>
      </c>
      <c r="W56">
        <v>1040</v>
      </c>
      <c r="X56" s="2">
        <f t="shared" si="12"/>
        <v>2080</v>
      </c>
      <c r="Y56" s="2">
        <f t="shared" si="13"/>
        <v>16640</v>
      </c>
      <c r="Z56" s="2">
        <f t="shared" si="14"/>
        <v>4.6222222222222218</v>
      </c>
      <c r="AA56">
        <v>960</v>
      </c>
      <c r="AB56">
        <v>960</v>
      </c>
      <c r="AC56" s="2">
        <f t="shared" si="15"/>
        <v>1920</v>
      </c>
      <c r="AD56" s="2">
        <f t="shared" si="16"/>
        <v>15360</v>
      </c>
      <c r="AE56" s="2">
        <f t="shared" si="17"/>
        <v>4.2666666666666666</v>
      </c>
      <c r="AF56">
        <v>1040</v>
      </c>
      <c r="AG56">
        <v>1040</v>
      </c>
      <c r="AH56" s="2">
        <f t="shared" si="18"/>
        <v>2080</v>
      </c>
      <c r="AI56" s="2">
        <f t="shared" si="19"/>
        <v>16640</v>
      </c>
      <c r="AJ56" s="2">
        <f t="shared" si="20"/>
        <v>4.6222222222222218</v>
      </c>
      <c r="AK56">
        <v>960</v>
      </c>
      <c r="AL56">
        <v>960</v>
      </c>
      <c r="AM56" s="2">
        <f t="shared" si="21"/>
        <v>1920</v>
      </c>
      <c r="AN56" s="2">
        <f t="shared" si="22"/>
        <v>15360</v>
      </c>
      <c r="AO56" s="2">
        <f t="shared" si="23"/>
        <v>4.2666666666666666</v>
      </c>
      <c r="AP56">
        <v>1120</v>
      </c>
      <c r="AQ56">
        <v>1120</v>
      </c>
      <c r="AR56" s="2">
        <f t="shared" si="24"/>
        <v>2240</v>
      </c>
      <c r="AS56" s="2">
        <f t="shared" si="25"/>
        <v>17920</v>
      </c>
      <c r="AT56" s="2">
        <f t="shared" si="26"/>
        <v>4.9777777777777779</v>
      </c>
      <c r="AU56">
        <v>1040</v>
      </c>
      <c r="AV56">
        <v>1040</v>
      </c>
      <c r="AW56" s="2">
        <f t="shared" si="27"/>
        <v>2080</v>
      </c>
      <c r="AX56" s="2">
        <f t="shared" si="28"/>
        <v>16640</v>
      </c>
      <c r="AY56" s="2">
        <f t="shared" si="29"/>
        <v>4.6222222222222218</v>
      </c>
    </row>
    <row r="57" spans="1:51" x14ac:dyDescent="0.3">
      <c r="A57" s="2" t="s">
        <v>61</v>
      </c>
      <c r="B57" s="2">
        <v>1440</v>
      </c>
      <c r="C57" s="2">
        <v>1440</v>
      </c>
      <c r="D57" s="2">
        <f t="shared" si="0"/>
        <v>2880</v>
      </c>
      <c r="E57" s="2">
        <f t="shared" si="1"/>
        <v>23040</v>
      </c>
      <c r="F57" s="2">
        <f t="shared" si="2"/>
        <v>6.4</v>
      </c>
      <c r="G57">
        <v>1040</v>
      </c>
      <c r="H57">
        <v>1040</v>
      </c>
      <c r="I57" s="2">
        <f t="shared" si="3"/>
        <v>2080</v>
      </c>
      <c r="J57" s="2">
        <f t="shared" si="4"/>
        <v>16640</v>
      </c>
      <c r="K57" s="2">
        <f t="shared" si="5"/>
        <v>4.6222222222222218</v>
      </c>
      <c r="L57">
        <v>960</v>
      </c>
      <c r="M57">
        <v>960</v>
      </c>
      <c r="N57" s="2">
        <f t="shared" si="6"/>
        <v>1920</v>
      </c>
      <c r="O57" s="2">
        <f t="shared" si="7"/>
        <v>15360</v>
      </c>
      <c r="P57" s="2">
        <f t="shared" si="8"/>
        <v>4.2666666666666666</v>
      </c>
      <c r="Q57">
        <v>800</v>
      </c>
      <c r="R57">
        <v>800</v>
      </c>
      <c r="S57" s="2">
        <f t="shared" si="9"/>
        <v>1600</v>
      </c>
      <c r="T57" s="2">
        <f t="shared" si="10"/>
        <v>12800</v>
      </c>
      <c r="U57" s="2">
        <f t="shared" si="11"/>
        <v>3.5555555555555554</v>
      </c>
      <c r="V57">
        <v>800</v>
      </c>
      <c r="W57">
        <v>800</v>
      </c>
      <c r="X57" s="2">
        <f t="shared" si="12"/>
        <v>1600</v>
      </c>
      <c r="Y57" s="2">
        <f t="shared" si="13"/>
        <v>12800</v>
      </c>
      <c r="Z57" s="2">
        <f t="shared" si="14"/>
        <v>3.5555555555555554</v>
      </c>
      <c r="AA57">
        <v>1120</v>
      </c>
      <c r="AB57">
        <v>1120</v>
      </c>
      <c r="AC57" s="2">
        <f t="shared" si="15"/>
        <v>2240</v>
      </c>
      <c r="AD57" s="2">
        <f t="shared" si="16"/>
        <v>17920</v>
      </c>
      <c r="AE57" s="2">
        <f t="shared" si="17"/>
        <v>4.9777777777777779</v>
      </c>
      <c r="AF57">
        <v>880</v>
      </c>
      <c r="AG57">
        <v>880</v>
      </c>
      <c r="AH57" s="2">
        <f t="shared" si="18"/>
        <v>1760</v>
      </c>
      <c r="AI57" s="2">
        <f t="shared" si="19"/>
        <v>14080</v>
      </c>
      <c r="AJ57" s="2">
        <f t="shared" si="20"/>
        <v>3.911111111111111</v>
      </c>
      <c r="AK57">
        <v>1040</v>
      </c>
      <c r="AL57">
        <v>1040</v>
      </c>
      <c r="AM57" s="2">
        <f t="shared" si="21"/>
        <v>2080</v>
      </c>
      <c r="AN57" s="2">
        <f t="shared" si="22"/>
        <v>16640</v>
      </c>
      <c r="AO57" s="2">
        <f t="shared" si="23"/>
        <v>4.6222222222222218</v>
      </c>
      <c r="AP57">
        <v>1040</v>
      </c>
      <c r="AQ57">
        <v>1040</v>
      </c>
      <c r="AR57" s="2">
        <f t="shared" si="24"/>
        <v>2080</v>
      </c>
      <c r="AS57" s="2">
        <f t="shared" si="25"/>
        <v>16640</v>
      </c>
      <c r="AT57" s="2">
        <f t="shared" si="26"/>
        <v>4.6222222222222218</v>
      </c>
      <c r="AU57">
        <v>880</v>
      </c>
      <c r="AV57">
        <v>880</v>
      </c>
      <c r="AW57" s="2">
        <f t="shared" si="27"/>
        <v>1760</v>
      </c>
      <c r="AX57" s="2">
        <f t="shared" si="28"/>
        <v>14080</v>
      </c>
      <c r="AY57" s="2">
        <f t="shared" si="29"/>
        <v>3.911111111111111</v>
      </c>
    </row>
    <row r="58" spans="1:51" x14ac:dyDescent="0.3">
      <c r="A58" s="2" t="s">
        <v>62</v>
      </c>
      <c r="B58" s="2">
        <v>1040</v>
      </c>
      <c r="C58" s="2">
        <v>1040</v>
      </c>
      <c r="D58" s="2">
        <f t="shared" si="0"/>
        <v>2080</v>
      </c>
      <c r="E58" s="2">
        <f t="shared" si="1"/>
        <v>16640</v>
      </c>
      <c r="F58" s="2">
        <f t="shared" si="2"/>
        <v>4.6222222222222218</v>
      </c>
      <c r="G58">
        <v>1120</v>
      </c>
      <c r="H58">
        <v>1120</v>
      </c>
      <c r="I58" s="2">
        <f t="shared" si="3"/>
        <v>2240</v>
      </c>
      <c r="J58" s="2">
        <f t="shared" si="4"/>
        <v>17920</v>
      </c>
      <c r="K58" s="2">
        <f t="shared" si="5"/>
        <v>4.9777777777777779</v>
      </c>
      <c r="L58">
        <v>1120</v>
      </c>
      <c r="M58">
        <v>1120</v>
      </c>
      <c r="N58" s="2">
        <f t="shared" si="6"/>
        <v>2240</v>
      </c>
      <c r="O58" s="2">
        <f t="shared" si="7"/>
        <v>17920</v>
      </c>
      <c r="P58" s="2">
        <f t="shared" si="8"/>
        <v>4.9777777777777779</v>
      </c>
      <c r="Q58">
        <v>960</v>
      </c>
      <c r="R58">
        <v>960</v>
      </c>
      <c r="S58" s="2">
        <f t="shared" si="9"/>
        <v>1920</v>
      </c>
      <c r="T58" s="2">
        <f t="shared" si="10"/>
        <v>15360</v>
      </c>
      <c r="U58" s="2">
        <f t="shared" si="11"/>
        <v>4.2666666666666666</v>
      </c>
      <c r="V58">
        <v>960</v>
      </c>
      <c r="W58">
        <v>960</v>
      </c>
      <c r="X58" s="2">
        <f t="shared" si="12"/>
        <v>1920</v>
      </c>
      <c r="Y58" s="2">
        <f t="shared" si="13"/>
        <v>15360</v>
      </c>
      <c r="Z58" s="2">
        <f t="shared" si="14"/>
        <v>4.2666666666666666</v>
      </c>
      <c r="AA58">
        <v>1120</v>
      </c>
      <c r="AB58">
        <v>1120</v>
      </c>
      <c r="AC58" s="2">
        <f t="shared" si="15"/>
        <v>2240</v>
      </c>
      <c r="AD58" s="2">
        <f t="shared" si="16"/>
        <v>17920</v>
      </c>
      <c r="AE58" s="2">
        <f t="shared" si="17"/>
        <v>4.9777777777777779</v>
      </c>
      <c r="AF58">
        <v>960</v>
      </c>
      <c r="AG58">
        <v>960</v>
      </c>
      <c r="AH58" s="2">
        <f t="shared" si="18"/>
        <v>1920</v>
      </c>
      <c r="AI58" s="2">
        <f t="shared" si="19"/>
        <v>15360</v>
      </c>
      <c r="AJ58" s="2">
        <f t="shared" si="20"/>
        <v>4.2666666666666666</v>
      </c>
      <c r="AK58">
        <v>1040</v>
      </c>
      <c r="AL58">
        <v>1040</v>
      </c>
      <c r="AM58" s="2">
        <f t="shared" si="21"/>
        <v>2080</v>
      </c>
      <c r="AN58" s="2">
        <f t="shared" si="22"/>
        <v>16640</v>
      </c>
      <c r="AO58" s="2">
        <f t="shared" si="23"/>
        <v>4.6222222222222218</v>
      </c>
      <c r="AP58">
        <v>1040</v>
      </c>
      <c r="AQ58">
        <v>1040</v>
      </c>
      <c r="AR58" s="2">
        <f t="shared" si="24"/>
        <v>2080</v>
      </c>
      <c r="AS58" s="2">
        <f t="shared" si="25"/>
        <v>16640</v>
      </c>
      <c r="AT58" s="2">
        <f t="shared" si="26"/>
        <v>4.6222222222222218</v>
      </c>
      <c r="AU58">
        <v>880</v>
      </c>
      <c r="AV58">
        <v>880</v>
      </c>
      <c r="AW58" s="2">
        <f t="shared" si="27"/>
        <v>1760</v>
      </c>
      <c r="AX58" s="2">
        <f t="shared" si="28"/>
        <v>14080</v>
      </c>
      <c r="AY58" s="2">
        <f t="shared" si="29"/>
        <v>3.911111111111111</v>
      </c>
    </row>
    <row r="59" spans="1:51" x14ac:dyDescent="0.3">
      <c r="A59" s="2" t="s">
        <v>63</v>
      </c>
      <c r="B59" s="2">
        <v>1120</v>
      </c>
      <c r="C59" s="2">
        <v>1120</v>
      </c>
      <c r="D59" s="2">
        <f t="shared" si="0"/>
        <v>2240</v>
      </c>
      <c r="E59" s="2">
        <f t="shared" si="1"/>
        <v>17920</v>
      </c>
      <c r="F59" s="2">
        <f t="shared" si="2"/>
        <v>4.9777777777777779</v>
      </c>
      <c r="G59">
        <v>1120</v>
      </c>
      <c r="H59">
        <v>1120</v>
      </c>
      <c r="I59" s="2">
        <f t="shared" si="3"/>
        <v>2240</v>
      </c>
      <c r="J59" s="2">
        <f t="shared" si="4"/>
        <v>17920</v>
      </c>
      <c r="K59" s="2">
        <f t="shared" si="5"/>
        <v>4.9777777777777779</v>
      </c>
      <c r="L59">
        <v>1120</v>
      </c>
      <c r="M59">
        <v>1120</v>
      </c>
      <c r="N59" s="2">
        <f t="shared" si="6"/>
        <v>2240</v>
      </c>
      <c r="O59" s="2">
        <f t="shared" si="7"/>
        <v>17920</v>
      </c>
      <c r="P59" s="2">
        <f t="shared" si="8"/>
        <v>4.9777777777777779</v>
      </c>
      <c r="Q59">
        <v>960</v>
      </c>
      <c r="R59">
        <v>960</v>
      </c>
      <c r="S59" s="2">
        <f t="shared" si="9"/>
        <v>1920</v>
      </c>
      <c r="T59" s="2">
        <f t="shared" si="10"/>
        <v>15360</v>
      </c>
      <c r="U59" s="2">
        <f t="shared" si="11"/>
        <v>4.2666666666666666</v>
      </c>
      <c r="V59">
        <v>960</v>
      </c>
      <c r="W59">
        <v>960</v>
      </c>
      <c r="X59" s="2">
        <f t="shared" si="12"/>
        <v>1920</v>
      </c>
      <c r="Y59" s="2">
        <f t="shared" si="13"/>
        <v>15360</v>
      </c>
      <c r="Z59" s="2">
        <f t="shared" si="14"/>
        <v>4.2666666666666666</v>
      </c>
      <c r="AA59">
        <v>1200</v>
      </c>
      <c r="AB59">
        <v>1200</v>
      </c>
      <c r="AC59" s="2">
        <f t="shared" si="15"/>
        <v>2400</v>
      </c>
      <c r="AD59" s="2">
        <f t="shared" si="16"/>
        <v>19200</v>
      </c>
      <c r="AE59" s="2">
        <f t="shared" si="17"/>
        <v>5.333333333333333</v>
      </c>
      <c r="AF59">
        <v>1040</v>
      </c>
      <c r="AG59">
        <v>1040</v>
      </c>
      <c r="AH59" s="2">
        <f t="shared" si="18"/>
        <v>2080</v>
      </c>
      <c r="AI59" s="2">
        <f t="shared" si="19"/>
        <v>16640</v>
      </c>
      <c r="AJ59" s="2">
        <f t="shared" si="20"/>
        <v>4.6222222222222218</v>
      </c>
      <c r="AK59">
        <v>1120</v>
      </c>
      <c r="AL59">
        <v>1120</v>
      </c>
      <c r="AM59" s="2">
        <f t="shared" si="21"/>
        <v>2240</v>
      </c>
      <c r="AN59" s="2">
        <f t="shared" si="22"/>
        <v>17920</v>
      </c>
      <c r="AO59" s="2">
        <f t="shared" si="23"/>
        <v>4.9777777777777779</v>
      </c>
      <c r="AP59">
        <v>1200</v>
      </c>
      <c r="AQ59">
        <v>1200</v>
      </c>
      <c r="AR59" s="2">
        <f t="shared" si="24"/>
        <v>2400</v>
      </c>
      <c r="AS59" s="2">
        <f t="shared" si="25"/>
        <v>19200</v>
      </c>
      <c r="AT59" s="2">
        <f t="shared" si="26"/>
        <v>5.333333333333333</v>
      </c>
      <c r="AU59">
        <v>1280</v>
      </c>
      <c r="AV59">
        <v>1280</v>
      </c>
      <c r="AW59" s="2">
        <f t="shared" si="27"/>
        <v>2560</v>
      </c>
      <c r="AX59" s="2">
        <f t="shared" si="28"/>
        <v>20480</v>
      </c>
      <c r="AY59" s="2">
        <f t="shared" si="29"/>
        <v>5.6888888888888891</v>
      </c>
    </row>
    <row r="60" spans="1:51" x14ac:dyDescent="0.3">
      <c r="A60" s="2" t="s">
        <v>64</v>
      </c>
      <c r="B60" s="2">
        <v>880</v>
      </c>
      <c r="C60" s="2">
        <v>880</v>
      </c>
      <c r="D60" s="2">
        <f t="shared" si="0"/>
        <v>1760</v>
      </c>
      <c r="E60" s="2">
        <f t="shared" si="1"/>
        <v>14080</v>
      </c>
      <c r="F60" s="2">
        <f t="shared" si="2"/>
        <v>3.911111111111111</v>
      </c>
      <c r="G60">
        <v>1120</v>
      </c>
      <c r="H60">
        <v>1120</v>
      </c>
      <c r="I60" s="2">
        <f t="shared" si="3"/>
        <v>2240</v>
      </c>
      <c r="J60" s="2">
        <f t="shared" si="4"/>
        <v>17920</v>
      </c>
      <c r="K60" s="2">
        <f t="shared" si="5"/>
        <v>4.9777777777777779</v>
      </c>
      <c r="L60">
        <v>1120</v>
      </c>
      <c r="M60">
        <v>1120</v>
      </c>
      <c r="N60" s="2">
        <f t="shared" si="6"/>
        <v>2240</v>
      </c>
      <c r="O60" s="2">
        <f t="shared" si="7"/>
        <v>17920</v>
      </c>
      <c r="P60" s="2">
        <f t="shared" si="8"/>
        <v>4.9777777777777779</v>
      </c>
      <c r="Q60">
        <v>1200</v>
      </c>
      <c r="R60">
        <v>1200</v>
      </c>
      <c r="S60" s="2">
        <f t="shared" si="9"/>
        <v>2400</v>
      </c>
      <c r="T60" s="2">
        <f t="shared" si="10"/>
        <v>19200</v>
      </c>
      <c r="U60" s="2">
        <f t="shared" si="11"/>
        <v>5.333333333333333</v>
      </c>
      <c r="V60">
        <v>1200</v>
      </c>
      <c r="W60">
        <v>1200</v>
      </c>
      <c r="X60" s="2">
        <f t="shared" si="12"/>
        <v>2400</v>
      </c>
      <c r="Y60" s="2">
        <f t="shared" si="13"/>
        <v>19200</v>
      </c>
      <c r="Z60" s="2">
        <f t="shared" si="14"/>
        <v>5.333333333333333</v>
      </c>
      <c r="AA60">
        <v>1120</v>
      </c>
      <c r="AB60">
        <v>1120</v>
      </c>
      <c r="AC60" s="2">
        <f t="shared" si="15"/>
        <v>2240</v>
      </c>
      <c r="AD60" s="2">
        <f t="shared" si="16"/>
        <v>17920</v>
      </c>
      <c r="AE60" s="2">
        <f t="shared" si="17"/>
        <v>4.9777777777777779</v>
      </c>
      <c r="AF60">
        <v>1120</v>
      </c>
      <c r="AG60">
        <v>1120</v>
      </c>
      <c r="AH60" s="2">
        <f t="shared" si="18"/>
        <v>2240</v>
      </c>
      <c r="AI60" s="2">
        <f t="shared" si="19"/>
        <v>17920</v>
      </c>
      <c r="AJ60" s="2">
        <f t="shared" si="20"/>
        <v>4.9777777777777779</v>
      </c>
      <c r="AK60">
        <v>1200</v>
      </c>
      <c r="AL60">
        <v>1200</v>
      </c>
      <c r="AM60" s="2">
        <f t="shared" si="21"/>
        <v>2400</v>
      </c>
      <c r="AN60" s="2">
        <f t="shared" si="22"/>
        <v>19200</v>
      </c>
      <c r="AO60" s="2">
        <f t="shared" si="23"/>
        <v>5.333333333333333</v>
      </c>
      <c r="AP60">
        <v>1120</v>
      </c>
      <c r="AQ60">
        <v>1120</v>
      </c>
      <c r="AR60" s="2">
        <f t="shared" si="24"/>
        <v>2240</v>
      </c>
      <c r="AS60" s="2">
        <f t="shared" si="25"/>
        <v>17920</v>
      </c>
      <c r="AT60" s="2">
        <f t="shared" si="26"/>
        <v>4.9777777777777779</v>
      </c>
      <c r="AU60">
        <v>1040</v>
      </c>
      <c r="AV60">
        <v>1040</v>
      </c>
      <c r="AW60" s="2">
        <f t="shared" si="27"/>
        <v>2080</v>
      </c>
      <c r="AX60" s="2">
        <f t="shared" si="28"/>
        <v>16640</v>
      </c>
      <c r="AY60" s="2">
        <f t="shared" si="29"/>
        <v>4.6222222222222218</v>
      </c>
    </row>
    <row r="61" spans="1:51" x14ac:dyDescent="0.3">
      <c r="A61" s="2" t="s">
        <v>65</v>
      </c>
      <c r="B61" s="2">
        <v>960</v>
      </c>
      <c r="C61" s="2">
        <v>960</v>
      </c>
      <c r="D61" s="2">
        <f t="shared" si="0"/>
        <v>1920</v>
      </c>
      <c r="E61" s="2">
        <f t="shared" si="1"/>
        <v>15360</v>
      </c>
      <c r="F61" s="2">
        <f t="shared" si="2"/>
        <v>4.2666666666666666</v>
      </c>
      <c r="G61">
        <v>960</v>
      </c>
      <c r="H61">
        <v>960</v>
      </c>
      <c r="I61" s="2">
        <f t="shared" si="3"/>
        <v>1920</v>
      </c>
      <c r="J61" s="2">
        <f t="shared" si="4"/>
        <v>15360</v>
      </c>
      <c r="K61" s="2">
        <f t="shared" si="5"/>
        <v>4.2666666666666666</v>
      </c>
      <c r="L61">
        <v>960</v>
      </c>
      <c r="M61">
        <v>960</v>
      </c>
      <c r="N61" s="2">
        <f t="shared" si="6"/>
        <v>1920</v>
      </c>
      <c r="O61" s="2">
        <f t="shared" si="7"/>
        <v>15360</v>
      </c>
      <c r="P61" s="2">
        <f t="shared" si="8"/>
        <v>4.2666666666666666</v>
      </c>
      <c r="Q61">
        <v>1200</v>
      </c>
      <c r="R61">
        <v>1200</v>
      </c>
      <c r="S61" s="2">
        <f t="shared" si="9"/>
        <v>2400</v>
      </c>
      <c r="T61" s="2">
        <f t="shared" si="10"/>
        <v>19200</v>
      </c>
      <c r="U61" s="2">
        <f t="shared" si="11"/>
        <v>5.333333333333333</v>
      </c>
      <c r="V61">
        <v>1200</v>
      </c>
      <c r="W61">
        <v>1200</v>
      </c>
      <c r="X61" s="2">
        <f t="shared" si="12"/>
        <v>2400</v>
      </c>
      <c r="Y61" s="2">
        <f t="shared" si="13"/>
        <v>19200</v>
      </c>
      <c r="Z61" s="2">
        <f t="shared" si="14"/>
        <v>5.333333333333333</v>
      </c>
      <c r="AA61">
        <v>1120</v>
      </c>
      <c r="AB61">
        <v>1120</v>
      </c>
      <c r="AC61" s="2">
        <f t="shared" si="15"/>
        <v>2240</v>
      </c>
      <c r="AD61" s="2">
        <f t="shared" si="16"/>
        <v>17920</v>
      </c>
      <c r="AE61" s="2">
        <f t="shared" si="17"/>
        <v>4.9777777777777779</v>
      </c>
      <c r="AF61">
        <v>1040</v>
      </c>
      <c r="AG61">
        <v>1040</v>
      </c>
      <c r="AH61" s="2">
        <f t="shared" si="18"/>
        <v>2080</v>
      </c>
      <c r="AI61" s="2">
        <f t="shared" si="19"/>
        <v>16640</v>
      </c>
      <c r="AJ61" s="2">
        <f t="shared" si="20"/>
        <v>4.6222222222222218</v>
      </c>
      <c r="AK61">
        <v>960</v>
      </c>
      <c r="AL61">
        <v>960</v>
      </c>
      <c r="AM61" s="2">
        <f t="shared" si="21"/>
        <v>1920</v>
      </c>
      <c r="AN61" s="2">
        <f t="shared" si="22"/>
        <v>15360</v>
      </c>
      <c r="AO61" s="2">
        <f t="shared" si="23"/>
        <v>4.2666666666666666</v>
      </c>
      <c r="AP61">
        <v>1200</v>
      </c>
      <c r="AQ61">
        <v>1200</v>
      </c>
      <c r="AR61" s="2">
        <f t="shared" si="24"/>
        <v>2400</v>
      </c>
      <c r="AS61" s="2">
        <f t="shared" si="25"/>
        <v>19200</v>
      </c>
      <c r="AT61" s="2">
        <f t="shared" si="26"/>
        <v>5.333333333333333</v>
      </c>
      <c r="AU61">
        <v>1200</v>
      </c>
      <c r="AV61">
        <v>1200</v>
      </c>
      <c r="AW61" s="2">
        <f t="shared" si="27"/>
        <v>2400</v>
      </c>
      <c r="AX61" s="2">
        <f t="shared" si="28"/>
        <v>19200</v>
      </c>
      <c r="AY61" s="2">
        <f t="shared" si="29"/>
        <v>5.333333333333333</v>
      </c>
    </row>
    <row r="62" spans="1:51" x14ac:dyDescent="0.3">
      <c r="A62" s="2" t="s">
        <v>66</v>
      </c>
      <c r="B62" s="2">
        <v>880</v>
      </c>
      <c r="C62" s="2">
        <v>880</v>
      </c>
      <c r="D62" s="2">
        <f t="shared" si="0"/>
        <v>1760</v>
      </c>
      <c r="E62" s="2">
        <f t="shared" si="1"/>
        <v>14080</v>
      </c>
      <c r="F62" s="2">
        <f t="shared" si="2"/>
        <v>3.911111111111111</v>
      </c>
      <c r="G62">
        <v>960</v>
      </c>
      <c r="H62">
        <v>960</v>
      </c>
      <c r="I62" s="2">
        <f t="shared" si="3"/>
        <v>1920</v>
      </c>
      <c r="J62" s="2">
        <f t="shared" si="4"/>
        <v>15360</v>
      </c>
      <c r="K62" s="2">
        <f t="shared" si="5"/>
        <v>4.2666666666666666</v>
      </c>
      <c r="L62">
        <v>880</v>
      </c>
      <c r="M62">
        <v>880</v>
      </c>
      <c r="N62" s="2">
        <f t="shared" si="6"/>
        <v>1760</v>
      </c>
      <c r="O62" s="2">
        <f t="shared" si="7"/>
        <v>14080</v>
      </c>
      <c r="P62" s="2">
        <f t="shared" si="8"/>
        <v>3.911111111111111</v>
      </c>
      <c r="Q62">
        <v>1120</v>
      </c>
      <c r="R62">
        <v>1120</v>
      </c>
      <c r="S62" s="2">
        <f t="shared" si="9"/>
        <v>2240</v>
      </c>
      <c r="T62" s="2">
        <f t="shared" si="10"/>
        <v>17920</v>
      </c>
      <c r="U62" s="2">
        <f t="shared" si="11"/>
        <v>4.9777777777777779</v>
      </c>
      <c r="V62">
        <v>1120</v>
      </c>
      <c r="W62">
        <v>1120</v>
      </c>
      <c r="X62" s="2">
        <f t="shared" si="12"/>
        <v>2240</v>
      </c>
      <c r="Y62" s="2">
        <f t="shared" si="13"/>
        <v>17920</v>
      </c>
      <c r="Z62" s="2">
        <f t="shared" si="14"/>
        <v>4.9777777777777779</v>
      </c>
      <c r="AA62">
        <v>880</v>
      </c>
      <c r="AB62">
        <v>880</v>
      </c>
      <c r="AC62" s="2">
        <f t="shared" si="15"/>
        <v>1760</v>
      </c>
      <c r="AD62" s="2">
        <f t="shared" si="16"/>
        <v>14080</v>
      </c>
      <c r="AE62" s="2">
        <f t="shared" si="17"/>
        <v>3.911111111111111</v>
      </c>
      <c r="AF62">
        <v>960</v>
      </c>
      <c r="AG62">
        <v>960</v>
      </c>
      <c r="AH62" s="2">
        <f t="shared" si="18"/>
        <v>1920</v>
      </c>
      <c r="AI62" s="2">
        <f t="shared" si="19"/>
        <v>15360</v>
      </c>
      <c r="AJ62" s="2">
        <f t="shared" si="20"/>
        <v>4.2666666666666666</v>
      </c>
      <c r="AK62">
        <v>1040</v>
      </c>
      <c r="AL62">
        <v>1040</v>
      </c>
      <c r="AM62" s="2">
        <f t="shared" si="21"/>
        <v>2080</v>
      </c>
      <c r="AN62" s="2">
        <f t="shared" si="22"/>
        <v>16640</v>
      </c>
      <c r="AO62" s="2">
        <f t="shared" si="23"/>
        <v>4.6222222222222218</v>
      </c>
      <c r="AP62">
        <v>1120</v>
      </c>
      <c r="AQ62">
        <v>1120</v>
      </c>
      <c r="AR62" s="2">
        <f t="shared" si="24"/>
        <v>2240</v>
      </c>
      <c r="AS62" s="2">
        <f t="shared" si="25"/>
        <v>17920</v>
      </c>
      <c r="AT62" s="2">
        <f t="shared" si="26"/>
        <v>4.9777777777777779</v>
      </c>
      <c r="AU62">
        <v>1120</v>
      </c>
      <c r="AV62">
        <v>1120</v>
      </c>
      <c r="AW62" s="2">
        <f t="shared" si="27"/>
        <v>2240</v>
      </c>
      <c r="AX62" s="2">
        <f t="shared" si="28"/>
        <v>17920</v>
      </c>
      <c r="AY62" s="2">
        <f t="shared" si="29"/>
        <v>4.9777777777777779</v>
      </c>
    </row>
    <row r="63" spans="1:51" x14ac:dyDescent="0.3">
      <c r="A63" s="2" t="s">
        <v>67</v>
      </c>
      <c r="B63" s="2">
        <v>1040</v>
      </c>
      <c r="C63" s="2">
        <v>1040</v>
      </c>
      <c r="D63" s="2">
        <f t="shared" si="0"/>
        <v>2080</v>
      </c>
      <c r="E63" s="2">
        <f t="shared" si="1"/>
        <v>16640</v>
      </c>
      <c r="F63" s="2">
        <f t="shared" si="2"/>
        <v>4.6222222222222218</v>
      </c>
      <c r="G63">
        <v>960</v>
      </c>
      <c r="H63">
        <v>960</v>
      </c>
      <c r="I63" s="2">
        <f t="shared" si="3"/>
        <v>1920</v>
      </c>
      <c r="J63" s="2">
        <f t="shared" si="4"/>
        <v>15360</v>
      </c>
      <c r="K63" s="2">
        <f t="shared" si="5"/>
        <v>4.2666666666666666</v>
      </c>
      <c r="L63">
        <v>1120</v>
      </c>
      <c r="M63">
        <v>1120</v>
      </c>
      <c r="N63" s="2">
        <f t="shared" si="6"/>
        <v>2240</v>
      </c>
      <c r="O63" s="2">
        <f t="shared" si="7"/>
        <v>17920</v>
      </c>
      <c r="P63" s="2">
        <f t="shared" si="8"/>
        <v>4.9777777777777779</v>
      </c>
      <c r="Q63">
        <v>1200</v>
      </c>
      <c r="R63">
        <v>1200</v>
      </c>
      <c r="S63" s="2">
        <f t="shared" si="9"/>
        <v>2400</v>
      </c>
      <c r="T63" s="2">
        <f t="shared" si="10"/>
        <v>19200</v>
      </c>
      <c r="U63" s="2">
        <f t="shared" si="11"/>
        <v>5.333333333333333</v>
      </c>
      <c r="V63">
        <v>1200</v>
      </c>
      <c r="W63">
        <v>1200</v>
      </c>
      <c r="X63" s="2">
        <f t="shared" si="12"/>
        <v>2400</v>
      </c>
      <c r="Y63" s="2">
        <f t="shared" si="13"/>
        <v>19200</v>
      </c>
      <c r="Z63" s="2">
        <f t="shared" si="14"/>
        <v>5.333333333333333</v>
      </c>
      <c r="AA63">
        <v>1120</v>
      </c>
      <c r="AB63">
        <v>1120</v>
      </c>
      <c r="AC63" s="2">
        <f t="shared" si="15"/>
        <v>2240</v>
      </c>
      <c r="AD63" s="2">
        <f t="shared" si="16"/>
        <v>17920</v>
      </c>
      <c r="AE63" s="2">
        <f t="shared" si="17"/>
        <v>4.9777777777777779</v>
      </c>
      <c r="AF63">
        <v>1120</v>
      </c>
      <c r="AG63">
        <v>1120</v>
      </c>
      <c r="AH63" s="2">
        <f t="shared" si="18"/>
        <v>2240</v>
      </c>
      <c r="AI63" s="2">
        <f t="shared" si="19"/>
        <v>17920</v>
      </c>
      <c r="AJ63" s="2">
        <f t="shared" si="20"/>
        <v>4.9777777777777779</v>
      </c>
      <c r="AK63">
        <v>1280</v>
      </c>
      <c r="AL63">
        <v>1280</v>
      </c>
      <c r="AM63" s="2">
        <f t="shared" si="21"/>
        <v>2560</v>
      </c>
      <c r="AN63" s="2">
        <f t="shared" si="22"/>
        <v>20480</v>
      </c>
      <c r="AO63" s="2">
        <f t="shared" si="23"/>
        <v>5.6888888888888891</v>
      </c>
      <c r="AP63">
        <v>1040</v>
      </c>
      <c r="AQ63">
        <v>1040</v>
      </c>
      <c r="AR63" s="2">
        <f t="shared" si="24"/>
        <v>2080</v>
      </c>
      <c r="AS63" s="2">
        <f t="shared" si="25"/>
        <v>16640</v>
      </c>
      <c r="AT63" s="2">
        <f t="shared" si="26"/>
        <v>4.6222222222222218</v>
      </c>
      <c r="AU63">
        <v>1120</v>
      </c>
      <c r="AV63">
        <v>1120</v>
      </c>
      <c r="AW63" s="2">
        <f t="shared" si="27"/>
        <v>2240</v>
      </c>
      <c r="AX63" s="2">
        <f t="shared" si="28"/>
        <v>17920</v>
      </c>
      <c r="AY63" s="2">
        <f t="shared" si="29"/>
        <v>4.9777777777777779</v>
      </c>
    </row>
    <row r="64" spans="1:51" x14ac:dyDescent="0.3">
      <c r="A64" s="2" t="s">
        <v>68</v>
      </c>
      <c r="B64" s="2">
        <v>1120</v>
      </c>
      <c r="C64" s="2">
        <v>1120</v>
      </c>
      <c r="D64" s="2">
        <f t="shared" si="0"/>
        <v>2240</v>
      </c>
      <c r="E64" s="2">
        <f t="shared" si="1"/>
        <v>17920</v>
      </c>
      <c r="F64" s="2">
        <f t="shared" si="2"/>
        <v>4.9777777777777779</v>
      </c>
      <c r="G64">
        <v>1040</v>
      </c>
      <c r="H64">
        <v>1040</v>
      </c>
      <c r="I64" s="2">
        <f t="shared" si="3"/>
        <v>2080</v>
      </c>
      <c r="J64" s="2">
        <f t="shared" si="4"/>
        <v>16640</v>
      </c>
      <c r="K64" s="2">
        <f t="shared" si="5"/>
        <v>4.6222222222222218</v>
      </c>
      <c r="L64">
        <v>1120</v>
      </c>
      <c r="M64">
        <v>1120</v>
      </c>
      <c r="N64" s="2">
        <f t="shared" si="6"/>
        <v>2240</v>
      </c>
      <c r="O64" s="2">
        <f t="shared" si="7"/>
        <v>17920</v>
      </c>
      <c r="P64" s="2">
        <f t="shared" si="8"/>
        <v>4.9777777777777779</v>
      </c>
      <c r="Q64">
        <v>1120</v>
      </c>
      <c r="R64">
        <v>1120</v>
      </c>
      <c r="S64" s="2">
        <f t="shared" si="9"/>
        <v>2240</v>
      </c>
      <c r="T64" s="2">
        <f t="shared" si="10"/>
        <v>17920</v>
      </c>
      <c r="U64" s="2">
        <f t="shared" si="11"/>
        <v>4.9777777777777779</v>
      </c>
      <c r="V64">
        <v>1120</v>
      </c>
      <c r="W64">
        <v>1120</v>
      </c>
      <c r="X64" s="2">
        <f t="shared" si="12"/>
        <v>2240</v>
      </c>
      <c r="Y64" s="2">
        <f t="shared" si="13"/>
        <v>17920</v>
      </c>
      <c r="Z64" s="2">
        <f t="shared" si="14"/>
        <v>4.9777777777777779</v>
      </c>
      <c r="AA64">
        <v>1040</v>
      </c>
      <c r="AB64">
        <v>1040</v>
      </c>
      <c r="AC64" s="2">
        <f t="shared" si="15"/>
        <v>2080</v>
      </c>
      <c r="AD64" s="2">
        <f t="shared" si="16"/>
        <v>16640</v>
      </c>
      <c r="AE64" s="2">
        <f t="shared" si="17"/>
        <v>4.6222222222222218</v>
      </c>
      <c r="AF64">
        <v>1200</v>
      </c>
      <c r="AG64">
        <v>1200</v>
      </c>
      <c r="AH64" s="2">
        <f t="shared" si="18"/>
        <v>2400</v>
      </c>
      <c r="AI64" s="2">
        <f t="shared" si="19"/>
        <v>19200</v>
      </c>
      <c r="AJ64" s="2">
        <f t="shared" si="20"/>
        <v>5.333333333333333</v>
      </c>
      <c r="AK64">
        <v>1040</v>
      </c>
      <c r="AL64">
        <v>1040</v>
      </c>
      <c r="AM64" s="2">
        <f t="shared" si="21"/>
        <v>2080</v>
      </c>
      <c r="AN64" s="2">
        <f t="shared" si="22"/>
        <v>16640</v>
      </c>
      <c r="AO64" s="2">
        <f t="shared" si="23"/>
        <v>4.6222222222222218</v>
      </c>
      <c r="AP64">
        <v>960</v>
      </c>
      <c r="AQ64">
        <v>960</v>
      </c>
      <c r="AR64" s="2">
        <f t="shared" si="24"/>
        <v>1920</v>
      </c>
      <c r="AS64" s="2">
        <f t="shared" si="25"/>
        <v>15360</v>
      </c>
      <c r="AT64" s="2">
        <f t="shared" si="26"/>
        <v>4.2666666666666666</v>
      </c>
      <c r="AU64">
        <v>960</v>
      </c>
      <c r="AV64">
        <v>960</v>
      </c>
      <c r="AW64" s="2">
        <f t="shared" si="27"/>
        <v>1920</v>
      </c>
      <c r="AX64" s="2">
        <f t="shared" si="28"/>
        <v>15360</v>
      </c>
      <c r="AY64" s="2">
        <f t="shared" si="29"/>
        <v>4.2666666666666666</v>
      </c>
    </row>
    <row r="65" spans="1:51" x14ac:dyDescent="0.3">
      <c r="A65" s="2" t="s">
        <v>69</v>
      </c>
      <c r="B65" s="2">
        <v>1040</v>
      </c>
      <c r="C65" s="2">
        <v>1040</v>
      </c>
      <c r="D65" s="2">
        <f t="shared" si="0"/>
        <v>2080</v>
      </c>
      <c r="E65" s="2">
        <f t="shared" si="1"/>
        <v>16640</v>
      </c>
      <c r="F65" s="2">
        <f t="shared" si="2"/>
        <v>4.6222222222222218</v>
      </c>
      <c r="G65">
        <v>1120</v>
      </c>
      <c r="H65">
        <v>1120</v>
      </c>
      <c r="I65" s="2">
        <f t="shared" si="3"/>
        <v>2240</v>
      </c>
      <c r="J65" s="2">
        <f t="shared" si="4"/>
        <v>17920</v>
      </c>
      <c r="K65" s="2">
        <f t="shared" si="5"/>
        <v>4.9777777777777779</v>
      </c>
      <c r="L65">
        <v>1040</v>
      </c>
      <c r="M65">
        <v>1040</v>
      </c>
      <c r="N65" s="2">
        <f t="shared" si="6"/>
        <v>2080</v>
      </c>
      <c r="O65" s="2">
        <f t="shared" si="7"/>
        <v>16640</v>
      </c>
      <c r="P65" s="2">
        <f t="shared" si="8"/>
        <v>4.6222222222222218</v>
      </c>
      <c r="Q65">
        <v>1120</v>
      </c>
      <c r="R65">
        <v>1120</v>
      </c>
      <c r="S65" s="2">
        <f t="shared" si="9"/>
        <v>2240</v>
      </c>
      <c r="T65" s="2">
        <f t="shared" si="10"/>
        <v>17920</v>
      </c>
      <c r="U65" s="2">
        <f t="shared" si="11"/>
        <v>4.9777777777777779</v>
      </c>
      <c r="V65">
        <v>1120</v>
      </c>
      <c r="W65">
        <v>1120</v>
      </c>
      <c r="X65" s="2">
        <f t="shared" si="12"/>
        <v>2240</v>
      </c>
      <c r="Y65" s="2">
        <f t="shared" si="13"/>
        <v>17920</v>
      </c>
      <c r="Z65" s="2">
        <f t="shared" si="14"/>
        <v>4.9777777777777779</v>
      </c>
      <c r="AA65">
        <v>1040</v>
      </c>
      <c r="AB65">
        <v>1040</v>
      </c>
      <c r="AC65" s="2">
        <f t="shared" si="15"/>
        <v>2080</v>
      </c>
      <c r="AD65" s="2">
        <f t="shared" si="16"/>
        <v>16640</v>
      </c>
      <c r="AE65" s="2">
        <f t="shared" si="17"/>
        <v>4.6222222222222218</v>
      </c>
      <c r="AF65">
        <v>1040</v>
      </c>
      <c r="AG65">
        <v>1040</v>
      </c>
      <c r="AH65" s="2">
        <f t="shared" si="18"/>
        <v>2080</v>
      </c>
      <c r="AI65" s="2">
        <f t="shared" si="19"/>
        <v>16640</v>
      </c>
      <c r="AJ65" s="2">
        <f t="shared" si="20"/>
        <v>4.6222222222222218</v>
      </c>
      <c r="AK65">
        <v>1120</v>
      </c>
      <c r="AL65">
        <v>1120</v>
      </c>
      <c r="AM65" s="2">
        <f t="shared" si="21"/>
        <v>2240</v>
      </c>
      <c r="AN65" s="2">
        <f t="shared" si="22"/>
        <v>17920</v>
      </c>
      <c r="AO65" s="2">
        <f t="shared" si="23"/>
        <v>4.9777777777777779</v>
      </c>
      <c r="AP65">
        <v>960</v>
      </c>
      <c r="AQ65">
        <v>960</v>
      </c>
      <c r="AR65" s="2">
        <f t="shared" si="24"/>
        <v>1920</v>
      </c>
      <c r="AS65" s="2">
        <f t="shared" si="25"/>
        <v>15360</v>
      </c>
      <c r="AT65" s="2">
        <f t="shared" si="26"/>
        <v>4.2666666666666666</v>
      </c>
      <c r="AU65">
        <v>1120</v>
      </c>
      <c r="AV65">
        <v>1120</v>
      </c>
      <c r="AW65" s="2">
        <f t="shared" si="27"/>
        <v>2240</v>
      </c>
      <c r="AX65" s="2">
        <f t="shared" si="28"/>
        <v>17920</v>
      </c>
      <c r="AY65" s="2">
        <f t="shared" si="29"/>
        <v>4.9777777777777779</v>
      </c>
    </row>
    <row r="66" spans="1:51" x14ac:dyDescent="0.3">
      <c r="A66" s="2" t="s">
        <v>70</v>
      </c>
      <c r="B66" s="2">
        <v>1120</v>
      </c>
      <c r="C66" s="2">
        <v>1120</v>
      </c>
      <c r="D66" s="2">
        <f t="shared" si="0"/>
        <v>2240</v>
      </c>
      <c r="E66" s="2">
        <f t="shared" si="1"/>
        <v>17920</v>
      </c>
      <c r="F66" s="2">
        <f t="shared" si="2"/>
        <v>4.9777777777777779</v>
      </c>
      <c r="G66">
        <v>1040</v>
      </c>
      <c r="H66">
        <v>1040</v>
      </c>
      <c r="I66" s="2">
        <f t="shared" si="3"/>
        <v>2080</v>
      </c>
      <c r="J66" s="2">
        <f t="shared" si="4"/>
        <v>16640</v>
      </c>
      <c r="K66" s="2">
        <f t="shared" si="5"/>
        <v>4.6222222222222218</v>
      </c>
      <c r="L66">
        <v>1200</v>
      </c>
      <c r="M66">
        <v>1200</v>
      </c>
      <c r="N66" s="2">
        <f t="shared" si="6"/>
        <v>2400</v>
      </c>
      <c r="O66" s="2">
        <f t="shared" si="7"/>
        <v>19200</v>
      </c>
      <c r="P66" s="2">
        <f t="shared" si="8"/>
        <v>5.333333333333333</v>
      </c>
      <c r="Q66">
        <v>960</v>
      </c>
      <c r="R66">
        <v>960</v>
      </c>
      <c r="S66" s="2">
        <f t="shared" si="9"/>
        <v>1920</v>
      </c>
      <c r="T66" s="2">
        <f t="shared" si="10"/>
        <v>15360</v>
      </c>
      <c r="U66" s="2">
        <f t="shared" si="11"/>
        <v>4.2666666666666666</v>
      </c>
      <c r="V66">
        <v>960</v>
      </c>
      <c r="W66">
        <v>960</v>
      </c>
      <c r="X66" s="2">
        <f t="shared" si="12"/>
        <v>1920</v>
      </c>
      <c r="Y66" s="2">
        <f t="shared" si="13"/>
        <v>15360</v>
      </c>
      <c r="Z66" s="2">
        <f t="shared" si="14"/>
        <v>4.2666666666666666</v>
      </c>
      <c r="AA66">
        <v>1200</v>
      </c>
      <c r="AB66">
        <v>1200</v>
      </c>
      <c r="AC66" s="2">
        <f t="shared" si="15"/>
        <v>2400</v>
      </c>
      <c r="AD66" s="2">
        <f t="shared" si="16"/>
        <v>19200</v>
      </c>
      <c r="AE66" s="2">
        <f t="shared" si="17"/>
        <v>5.333333333333333</v>
      </c>
      <c r="AF66">
        <v>1120</v>
      </c>
      <c r="AG66">
        <v>1120</v>
      </c>
      <c r="AH66" s="2">
        <f t="shared" si="18"/>
        <v>2240</v>
      </c>
      <c r="AI66" s="2">
        <f t="shared" si="19"/>
        <v>17920</v>
      </c>
      <c r="AJ66" s="2">
        <f t="shared" si="20"/>
        <v>4.9777777777777779</v>
      </c>
      <c r="AK66">
        <v>960</v>
      </c>
      <c r="AL66">
        <v>960</v>
      </c>
      <c r="AM66" s="2">
        <f t="shared" si="21"/>
        <v>1920</v>
      </c>
      <c r="AN66" s="2">
        <f t="shared" si="22"/>
        <v>15360</v>
      </c>
      <c r="AO66" s="2">
        <f t="shared" si="23"/>
        <v>4.2666666666666666</v>
      </c>
      <c r="AP66">
        <v>1040</v>
      </c>
      <c r="AQ66">
        <v>1040</v>
      </c>
      <c r="AR66" s="2">
        <f t="shared" si="24"/>
        <v>2080</v>
      </c>
      <c r="AS66" s="2">
        <f t="shared" si="25"/>
        <v>16640</v>
      </c>
      <c r="AT66" s="2">
        <f t="shared" si="26"/>
        <v>4.6222222222222218</v>
      </c>
      <c r="AU66">
        <v>1040</v>
      </c>
      <c r="AV66">
        <v>1040</v>
      </c>
      <c r="AW66" s="2">
        <f t="shared" si="27"/>
        <v>2080</v>
      </c>
      <c r="AX66" s="2">
        <f t="shared" si="28"/>
        <v>16640</v>
      </c>
      <c r="AY66" s="2">
        <f t="shared" si="29"/>
        <v>4.6222222222222218</v>
      </c>
    </row>
    <row r="67" spans="1:51" x14ac:dyDescent="0.3">
      <c r="A67" s="2" t="s">
        <v>71</v>
      </c>
      <c r="B67" s="2">
        <v>1280</v>
      </c>
      <c r="C67" s="2">
        <v>1280</v>
      </c>
      <c r="D67" s="2">
        <f t="shared" si="0"/>
        <v>2560</v>
      </c>
      <c r="E67" s="2">
        <f t="shared" si="1"/>
        <v>20480</v>
      </c>
      <c r="F67" s="2">
        <f t="shared" si="2"/>
        <v>5.6888888888888891</v>
      </c>
      <c r="G67">
        <v>1120</v>
      </c>
      <c r="H67">
        <v>1120</v>
      </c>
      <c r="I67" s="2">
        <f t="shared" si="3"/>
        <v>2240</v>
      </c>
      <c r="J67" s="2">
        <f t="shared" si="4"/>
        <v>17920</v>
      </c>
      <c r="K67" s="2">
        <f t="shared" si="5"/>
        <v>4.9777777777777779</v>
      </c>
      <c r="L67">
        <v>960</v>
      </c>
      <c r="M67">
        <v>960</v>
      </c>
      <c r="N67" s="2">
        <f t="shared" si="6"/>
        <v>1920</v>
      </c>
      <c r="O67" s="2">
        <f t="shared" si="7"/>
        <v>15360</v>
      </c>
      <c r="P67" s="2">
        <f t="shared" si="8"/>
        <v>4.2666666666666666</v>
      </c>
      <c r="Q67">
        <v>1120</v>
      </c>
      <c r="R67">
        <v>1120</v>
      </c>
      <c r="S67" s="2">
        <f t="shared" si="9"/>
        <v>2240</v>
      </c>
      <c r="T67" s="2">
        <f t="shared" si="10"/>
        <v>17920</v>
      </c>
      <c r="U67" s="2">
        <f t="shared" si="11"/>
        <v>4.9777777777777779</v>
      </c>
      <c r="V67">
        <v>1120</v>
      </c>
      <c r="W67">
        <v>1120</v>
      </c>
      <c r="X67" s="2">
        <f t="shared" si="12"/>
        <v>2240</v>
      </c>
      <c r="Y67" s="2">
        <f t="shared" si="13"/>
        <v>17920</v>
      </c>
      <c r="Z67" s="2">
        <f t="shared" si="14"/>
        <v>4.9777777777777779</v>
      </c>
      <c r="AA67">
        <v>1280</v>
      </c>
      <c r="AB67">
        <v>1280</v>
      </c>
      <c r="AC67" s="2">
        <f t="shared" si="15"/>
        <v>2560</v>
      </c>
      <c r="AD67" s="2">
        <f t="shared" si="16"/>
        <v>20480</v>
      </c>
      <c r="AE67" s="2">
        <f t="shared" si="17"/>
        <v>5.6888888888888891</v>
      </c>
      <c r="AF67">
        <v>1120</v>
      </c>
      <c r="AG67">
        <v>1120</v>
      </c>
      <c r="AH67" s="2">
        <f t="shared" si="18"/>
        <v>2240</v>
      </c>
      <c r="AI67" s="2">
        <f t="shared" si="19"/>
        <v>17920</v>
      </c>
      <c r="AJ67" s="2">
        <f t="shared" si="20"/>
        <v>4.9777777777777779</v>
      </c>
      <c r="AK67">
        <v>1040</v>
      </c>
      <c r="AL67">
        <v>1040</v>
      </c>
      <c r="AM67" s="2">
        <f t="shared" si="21"/>
        <v>2080</v>
      </c>
      <c r="AN67" s="2">
        <f t="shared" si="22"/>
        <v>16640</v>
      </c>
      <c r="AO67" s="2">
        <f t="shared" si="23"/>
        <v>4.6222222222222218</v>
      </c>
      <c r="AP67">
        <v>1280</v>
      </c>
      <c r="AQ67">
        <v>1280</v>
      </c>
      <c r="AR67" s="2">
        <f t="shared" si="24"/>
        <v>2560</v>
      </c>
      <c r="AS67" s="2">
        <f t="shared" si="25"/>
        <v>20480</v>
      </c>
      <c r="AT67" s="2">
        <f t="shared" si="26"/>
        <v>5.6888888888888891</v>
      </c>
      <c r="AU67">
        <v>1200</v>
      </c>
      <c r="AV67">
        <v>1200</v>
      </c>
      <c r="AW67" s="2">
        <f t="shared" si="27"/>
        <v>2400</v>
      </c>
      <c r="AX67" s="2">
        <f t="shared" si="28"/>
        <v>19200</v>
      </c>
      <c r="AY67" s="2">
        <f t="shared" si="29"/>
        <v>5.333333333333333</v>
      </c>
    </row>
    <row r="68" spans="1:51" x14ac:dyDescent="0.3">
      <c r="A68" s="2" t="s">
        <v>72</v>
      </c>
      <c r="B68" s="2">
        <v>1040</v>
      </c>
      <c r="C68" s="2">
        <v>1040</v>
      </c>
      <c r="D68" s="2">
        <f t="shared" ref="D68:D102" si="30">SUM(B68:C68)</f>
        <v>2080</v>
      </c>
      <c r="E68" s="2">
        <f t="shared" ref="E68:E102" si="31">(D68*8)</f>
        <v>16640</v>
      </c>
      <c r="F68" s="2">
        <f t="shared" ref="F68:F102" si="32">(E68/3600)</f>
        <v>4.6222222222222218</v>
      </c>
      <c r="G68">
        <v>1200</v>
      </c>
      <c r="H68">
        <v>1200</v>
      </c>
      <c r="I68" s="2">
        <f t="shared" ref="I68:I102" si="33">SUM(G68:H68)</f>
        <v>2400</v>
      </c>
      <c r="J68" s="2">
        <f t="shared" ref="J68:J102" si="34">(I68*8)</f>
        <v>19200</v>
      </c>
      <c r="K68" s="2">
        <f t="shared" ref="K68:K102" si="35">(J68/3600)</f>
        <v>5.333333333333333</v>
      </c>
      <c r="L68">
        <v>1040</v>
      </c>
      <c r="M68">
        <v>1040</v>
      </c>
      <c r="N68" s="2">
        <f t="shared" ref="N68:N102" si="36">SUM(L68:M68)</f>
        <v>2080</v>
      </c>
      <c r="O68" s="2">
        <f t="shared" ref="O68:O102" si="37">(N68*8)</f>
        <v>16640</v>
      </c>
      <c r="P68" s="2">
        <f t="shared" ref="P68:P102" si="38">(O68/3600)</f>
        <v>4.6222222222222218</v>
      </c>
      <c r="Q68">
        <v>1040</v>
      </c>
      <c r="R68">
        <v>1040</v>
      </c>
      <c r="S68" s="2">
        <f t="shared" ref="S68:S102" si="39">SUM(Q68:R68)</f>
        <v>2080</v>
      </c>
      <c r="T68" s="2">
        <f t="shared" ref="T68:T102" si="40">(S68*8)</f>
        <v>16640</v>
      </c>
      <c r="U68" s="2">
        <f t="shared" ref="U68:U102" si="41">(T68/3600)</f>
        <v>4.6222222222222218</v>
      </c>
      <c r="V68">
        <v>1040</v>
      </c>
      <c r="W68">
        <v>1040</v>
      </c>
      <c r="X68" s="2">
        <f t="shared" ref="X68:X102" si="42">SUM(V68:W68)</f>
        <v>2080</v>
      </c>
      <c r="Y68" s="2">
        <f t="shared" ref="Y68:Y102" si="43">(X68*8)</f>
        <v>16640</v>
      </c>
      <c r="Z68" s="2">
        <f t="shared" ref="Z68:Z102" si="44">(Y68/3600)</f>
        <v>4.6222222222222218</v>
      </c>
      <c r="AA68">
        <v>1120</v>
      </c>
      <c r="AB68">
        <v>1120</v>
      </c>
      <c r="AC68" s="2">
        <f t="shared" ref="AC68:AC102" si="45">SUM(AA68:AB68)</f>
        <v>2240</v>
      </c>
      <c r="AD68" s="2">
        <f t="shared" ref="AD68:AD102" si="46">(AC68*8)</f>
        <v>17920</v>
      </c>
      <c r="AE68" s="2">
        <f t="shared" ref="AE68:AE102" si="47">(AD68/3600)</f>
        <v>4.9777777777777779</v>
      </c>
      <c r="AF68">
        <v>1040</v>
      </c>
      <c r="AG68">
        <v>1040</v>
      </c>
      <c r="AH68" s="2">
        <f t="shared" ref="AH68:AH102" si="48">SUM(AF68:AG68)</f>
        <v>2080</v>
      </c>
      <c r="AI68" s="2">
        <f t="shared" ref="AI68:AI102" si="49">(AH68*8)</f>
        <v>16640</v>
      </c>
      <c r="AJ68" s="2">
        <f t="shared" ref="AJ68:AJ102" si="50">(AI68/3600)</f>
        <v>4.6222222222222218</v>
      </c>
      <c r="AK68">
        <v>1040</v>
      </c>
      <c r="AL68">
        <v>1040</v>
      </c>
      <c r="AM68" s="2">
        <f t="shared" ref="AM68:AM102" si="51">SUM(AK68:AL68)</f>
        <v>2080</v>
      </c>
      <c r="AN68" s="2">
        <f t="shared" ref="AN68:AN102" si="52">(AM68*8)</f>
        <v>16640</v>
      </c>
      <c r="AO68" s="2">
        <f t="shared" ref="AO68:AO102" si="53">(AN68/3600)</f>
        <v>4.6222222222222218</v>
      </c>
      <c r="AP68">
        <v>1040</v>
      </c>
      <c r="AQ68">
        <v>1040</v>
      </c>
      <c r="AR68" s="2">
        <f t="shared" ref="AR68:AR102" si="54">SUM(AP68:AQ68)</f>
        <v>2080</v>
      </c>
      <c r="AS68" s="2">
        <f t="shared" ref="AS68:AS102" si="55">(AR68*8)</f>
        <v>16640</v>
      </c>
      <c r="AT68" s="2">
        <f t="shared" ref="AT68:AT102" si="56">(AS68/3600)</f>
        <v>4.6222222222222218</v>
      </c>
      <c r="AU68">
        <v>1040</v>
      </c>
      <c r="AV68">
        <v>1040</v>
      </c>
      <c r="AW68" s="2">
        <f t="shared" ref="AW68:AW102" si="57">SUM(AU68:AV68)</f>
        <v>2080</v>
      </c>
      <c r="AX68" s="2">
        <f t="shared" ref="AX68:AX102" si="58">(AW68*8)</f>
        <v>16640</v>
      </c>
      <c r="AY68" s="2">
        <f t="shared" ref="AY68:AY102" si="59">(AX68/3600)</f>
        <v>4.6222222222222218</v>
      </c>
    </row>
    <row r="69" spans="1:51" x14ac:dyDescent="0.3">
      <c r="A69" s="2" t="s">
        <v>73</v>
      </c>
      <c r="B69" s="2">
        <v>1040</v>
      </c>
      <c r="C69" s="2">
        <v>1040</v>
      </c>
      <c r="D69" s="2">
        <f t="shared" si="30"/>
        <v>2080</v>
      </c>
      <c r="E69" s="2">
        <f t="shared" si="31"/>
        <v>16640</v>
      </c>
      <c r="F69" s="2">
        <f t="shared" si="32"/>
        <v>4.6222222222222218</v>
      </c>
      <c r="G69">
        <v>1040</v>
      </c>
      <c r="H69">
        <v>1040</v>
      </c>
      <c r="I69" s="2">
        <f t="shared" si="33"/>
        <v>2080</v>
      </c>
      <c r="J69" s="2">
        <f t="shared" si="34"/>
        <v>16640</v>
      </c>
      <c r="K69" s="2">
        <f t="shared" si="35"/>
        <v>4.6222222222222218</v>
      </c>
      <c r="L69">
        <v>1200</v>
      </c>
      <c r="M69">
        <v>1200</v>
      </c>
      <c r="N69" s="2">
        <f t="shared" si="36"/>
        <v>2400</v>
      </c>
      <c r="O69" s="2">
        <f t="shared" si="37"/>
        <v>19200</v>
      </c>
      <c r="P69" s="2">
        <f t="shared" si="38"/>
        <v>5.333333333333333</v>
      </c>
      <c r="Q69">
        <v>1120</v>
      </c>
      <c r="R69">
        <v>1120</v>
      </c>
      <c r="S69" s="2">
        <f t="shared" si="39"/>
        <v>2240</v>
      </c>
      <c r="T69" s="2">
        <f t="shared" si="40"/>
        <v>17920</v>
      </c>
      <c r="U69" s="2">
        <f t="shared" si="41"/>
        <v>4.9777777777777779</v>
      </c>
      <c r="V69">
        <v>1120</v>
      </c>
      <c r="W69">
        <v>1120</v>
      </c>
      <c r="X69" s="2">
        <f t="shared" si="42"/>
        <v>2240</v>
      </c>
      <c r="Y69" s="2">
        <f t="shared" si="43"/>
        <v>17920</v>
      </c>
      <c r="Z69" s="2">
        <f t="shared" si="44"/>
        <v>4.9777777777777779</v>
      </c>
      <c r="AA69">
        <v>960</v>
      </c>
      <c r="AB69">
        <v>960</v>
      </c>
      <c r="AC69" s="2">
        <f t="shared" si="45"/>
        <v>1920</v>
      </c>
      <c r="AD69" s="2">
        <f t="shared" si="46"/>
        <v>15360</v>
      </c>
      <c r="AE69" s="2">
        <f t="shared" si="47"/>
        <v>4.2666666666666666</v>
      </c>
      <c r="AF69">
        <v>1200</v>
      </c>
      <c r="AG69">
        <v>1200</v>
      </c>
      <c r="AH69" s="2">
        <f t="shared" si="48"/>
        <v>2400</v>
      </c>
      <c r="AI69" s="2">
        <f t="shared" si="49"/>
        <v>19200</v>
      </c>
      <c r="AJ69" s="2">
        <f t="shared" si="50"/>
        <v>5.333333333333333</v>
      </c>
      <c r="AK69">
        <v>1120</v>
      </c>
      <c r="AL69">
        <v>1120</v>
      </c>
      <c r="AM69" s="2">
        <f t="shared" si="51"/>
        <v>2240</v>
      </c>
      <c r="AN69" s="2">
        <f t="shared" si="52"/>
        <v>17920</v>
      </c>
      <c r="AO69" s="2">
        <f t="shared" si="53"/>
        <v>4.9777777777777779</v>
      </c>
      <c r="AP69">
        <v>1200</v>
      </c>
      <c r="AQ69">
        <v>1200</v>
      </c>
      <c r="AR69" s="2">
        <f t="shared" si="54"/>
        <v>2400</v>
      </c>
      <c r="AS69" s="2">
        <f t="shared" si="55"/>
        <v>19200</v>
      </c>
      <c r="AT69" s="2">
        <f t="shared" si="56"/>
        <v>5.333333333333333</v>
      </c>
      <c r="AU69">
        <v>1120</v>
      </c>
      <c r="AV69">
        <v>1120</v>
      </c>
      <c r="AW69" s="2">
        <f t="shared" si="57"/>
        <v>2240</v>
      </c>
      <c r="AX69" s="2">
        <f t="shared" si="58"/>
        <v>17920</v>
      </c>
      <c r="AY69" s="2">
        <f t="shared" si="59"/>
        <v>4.9777777777777779</v>
      </c>
    </row>
    <row r="70" spans="1:51" x14ac:dyDescent="0.3">
      <c r="A70" s="2" t="s">
        <v>74</v>
      </c>
      <c r="B70" s="2">
        <v>960</v>
      </c>
      <c r="C70" s="2">
        <v>960</v>
      </c>
      <c r="D70" s="2">
        <f t="shared" si="30"/>
        <v>1920</v>
      </c>
      <c r="E70" s="2">
        <f t="shared" si="31"/>
        <v>15360</v>
      </c>
      <c r="F70" s="2">
        <f t="shared" si="32"/>
        <v>4.2666666666666666</v>
      </c>
      <c r="G70">
        <v>1200</v>
      </c>
      <c r="H70">
        <v>1200</v>
      </c>
      <c r="I70" s="2">
        <f t="shared" si="33"/>
        <v>2400</v>
      </c>
      <c r="J70" s="2">
        <f t="shared" si="34"/>
        <v>19200</v>
      </c>
      <c r="K70" s="2">
        <f t="shared" si="35"/>
        <v>5.333333333333333</v>
      </c>
      <c r="L70">
        <v>1120</v>
      </c>
      <c r="M70">
        <v>1120</v>
      </c>
      <c r="N70" s="2">
        <f t="shared" si="36"/>
        <v>2240</v>
      </c>
      <c r="O70" s="2">
        <f t="shared" si="37"/>
        <v>17920</v>
      </c>
      <c r="P70" s="2">
        <f t="shared" si="38"/>
        <v>4.9777777777777779</v>
      </c>
      <c r="Q70">
        <v>880</v>
      </c>
      <c r="R70">
        <v>880</v>
      </c>
      <c r="S70" s="2">
        <f t="shared" si="39"/>
        <v>1760</v>
      </c>
      <c r="T70" s="2">
        <f t="shared" si="40"/>
        <v>14080</v>
      </c>
      <c r="U70" s="2">
        <f t="shared" si="41"/>
        <v>3.911111111111111</v>
      </c>
      <c r="V70">
        <v>880</v>
      </c>
      <c r="W70">
        <v>880</v>
      </c>
      <c r="X70" s="2">
        <f t="shared" si="42"/>
        <v>1760</v>
      </c>
      <c r="Y70" s="2">
        <f t="shared" si="43"/>
        <v>14080</v>
      </c>
      <c r="Z70" s="2">
        <f t="shared" si="44"/>
        <v>3.911111111111111</v>
      </c>
      <c r="AA70">
        <v>880</v>
      </c>
      <c r="AB70">
        <v>880</v>
      </c>
      <c r="AC70" s="2">
        <f t="shared" si="45"/>
        <v>1760</v>
      </c>
      <c r="AD70" s="2">
        <f t="shared" si="46"/>
        <v>14080</v>
      </c>
      <c r="AE70" s="2">
        <f t="shared" si="47"/>
        <v>3.911111111111111</v>
      </c>
      <c r="AF70">
        <v>1040</v>
      </c>
      <c r="AG70">
        <v>1040</v>
      </c>
      <c r="AH70" s="2">
        <f t="shared" si="48"/>
        <v>2080</v>
      </c>
      <c r="AI70" s="2">
        <f t="shared" si="49"/>
        <v>16640</v>
      </c>
      <c r="AJ70" s="2">
        <f t="shared" si="50"/>
        <v>4.6222222222222218</v>
      </c>
      <c r="AK70">
        <v>1120</v>
      </c>
      <c r="AL70">
        <v>1120</v>
      </c>
      <c r="AM70" s="2">
        <f t="shared" si="51"/>
        <v>2240</v>
      </c>
      <c r="AN70" s="2">
        <f t="shared" si="52"/>
        <v>17920</v>
      </c>
      <c r="AO70" s="2">
        <f t="shared" si="53"/>
        <v>4.9777777777777779</v>
      </c>
      <c r="AP70">
        <v>1040</v>
      </c>
      <c r="AQ70">
        <v>1040</v>
      </c>
      <c r="AR70" s="2">
        <f t="shared" si="54"/>
        <v>2080</v>
      </c>
      <c r="AS70" s="2">
        <f t="shared" si="55"/>
        <v>16640</v>
      </c>
      <c r="AT70" s="2">
        <f t="shared" si="56"/>
        <v>4.6222222222222218</v>
      </c>
      <c r="AU70">
        <v>1200</v>
      </c>
      <c r="AV70">
        <v>1200</v>
      </c>
      <c r="AW70" s="2">
        <f t="shared" si="57"/>
        <v>2400</v>
      </c>
      <c r="AX70" s="2">
        <f t="shared" si="58"/>
        <v>19200</v>
      </c>
      <c r="AY70" s="2">
        <f t="shared" si="59"/>
        <v>5.333333333333333</v>
      </c>
    </row>
    <row r="71" spans="1:51" x14ac:dyDescent="0.3">
      <c r="A71" s="2" t="s">
        <v>75</v>
      </c>
      <c r="B71" s="2">
        <v>960</v>
      </c>
      <c r="C71" s="2">
        <v>960</v>
      </c>
      <c r="D71" s="2">
        <f t="shared" si="30"/>
        <v>1920</v>
      </c>
      <c r="E71" s="2">
        <f t="shared" si="31"/>
        <v>15360</v>
      </c>
      <c r="F71" s="2">
        <f t="shared" si="32"/>
        <v>4.2666666666666666</v>
      </c>
      <c r="G71">
        <v>1040</v>
      </c>
      <c r="H71">
        <v>1040</v>
      </c>
      <c r="I71" s="2">
        <f t="shared" si="33"/>
        <v>2080</v>
      </c>
      <c r="J71" s="2">
        <f t="shared" si="34"/>
        <v>16640</v>
      </c>
      <c r="K71" s="2">
        <f t="shared" si="35"/>
        <v>4.6222222222222218</v>
      </c>
      <c r="L71">
        <v>960</v>
      </c>
      <c r="M71">
        <v>960</v>
      </c>
      <c r="N71" s="2">
        <f t="shared" si="36"/>
        <v>1920</v>
      </c>
      <c r="O71" s="2">
        <f t="shared" si="37"/>
        <v>15360</v>
      </c>
      <c r="P71" s="2">
        <f t="shared" si="38"/>
        <v>4.2666666666666666</v>
      </c>
      <c r="Q71">
        <v>1200</v>
      </c>
      <c r="R71">
        <v>1200</v>
      </c>
      <c r="S71" s="2">
        <f t="shared" si="39"/>
        <v>2400</v>
      </c>
      <c r="T71" s="2">
        <f t="shared" si="40"/>
        <v>19200</v>
      </c>
      <c r="U71" s="2">
        <f t="shared" si="41"/>
        <v>5.333333333333333</v>
      </c>
      <c r="V71">
        <v>1200</v>
      </c>
      <c r="W71">
        <v>1200</v>
      </c>
      <c r="X71" s="2">
        <f t="shared" si="42"/>
        <v>2400</v>
      </c>
      <c r="Y71" s="2">
        <f t="shared" si="43"/>
        <v>19200</v>
      </c>
      <c r="Z71" s="2">
        <f t="shared" si="44"/>
        <v>5.333333333333333</v>
      </c>
      <c r="AA71">
        <v>1120</v>
      </c>
      <c r="AB71">
        <v>1120</v>
      </c>
      <c r="AC71" s="2">
        <f t="shared" si="45"/>
        <v>2240</v>
      </c>
      <c r="AD71" s="2">
        <f t="shared" si="46"/>
        <v>17920</v>
      </c>
      <c r="AE71" s="2">
        <f t="shared" si="47"/>
        <v>4.9777777777777779</v>
      </c>
      <c r="AF71">
        <v>1200</v>
      </c>
      <c r="AG71">
        <v>1200</v>
      </c>
      <c r="AH71" s="2">
        <f t="shared" si="48"/>
        <v>2400</v>
      </c>
      <c r="AI71" s="2">
        <f t="shared" si="49"/>
        <v>19200</v>
      </c>
      <c r="AJ71" s="2">
        <f t="shared" si="50"/>
        <v>5.333333333333333</v>
      </c>
      <c r="AK71">
        <v>880</v>
      </c>
      <c r="AL71">
        <v>880</v>
      </c>
      <c r="AM71" s="2">
        <f t="shared" si="51"/>
        <v>1760</v>
      </c>
      <c r="AN71" s="2">
        <f t="shared" si="52"/>
        <v>14080</v>
      </c>
      <c r="AO71" s="2">
        <f t="shared" si="53"/>
        <v>3.911111111111111</v>
      </c>
      <c r="AP71">
        <v>1040</v>
      </c>
      <c r="AQ71">
        <v>1040</v>
      </c>
      <c r="AR71" s="2">
        <f t="shared" si="54"/>
        <v>2080</v>
      </c>
      <c r="AS71" s="2">
        <f t="shared" si="55"/>
        <v>16640</v>
      </c>
      <c r="AT71" s="2">
        <f t="shared" si="56"/>
        <v>4.6222222222222218</v>
      </c>
      <c r="AU71">
        <v>1120</v>
      </c>
      <c r="AV71">
        <v>1120</v>
      </c>
      <c r="AW71" s="2">
        <f t="shared" si="57"/>
        <v>2240</v>
      </c>
      <c r="AX71" s="2">
        <f t="shared" si="58"/>
        <v>17920</v>
      </c>
      <c r="AY71" s="2">
        <f t="shared" si="59"/>
        <v>4.9777777777777779</v>
      </c>
    </row>
    <row r="72" spans="1:51" x14ac:dyDescent="0.3">
      <c r="A72" s="2" t="s">
        <v>76</v>
      </c>
      <c r="B72" s="2">
        <v>1040</v>
      </c>
      <c r="C72" s="2">
        <v>1040</v>
      </c>
      <c r="D72" s="2">
        <f t="shared" si="30"/>
        <v>2080</v>
      </c>
      <c r="E72" s="2">
        <f t="shared" si="31"/>
        <v>16640</v>
      </c>
      <c r="F72" s="2">
        <f t="shared" si="32"/>
        <v>4.6222222222222218</v>
      </c>
      <c r="G72">
        <v>1360</v>
      </c>
      <c r="H72">
        <v>1360</v>
      </c>
      <c r="I72" s="2">
        <f t="shared" si="33"/>
        <v>2720</v>
      </c>
      <c r="J72" s="2">
        <f t="shared" si="34"/>
        <v>21760</v>
      </c>
      <c r="K72" s="2">
        <f t="shared" si="35"/>
        <v>6.0444444444444443</v>
      </c>
      <c r="L72">
        <v>1120</v>
      </c>
      <c r="M72">
        <v>1120</v>
      </c>
      <c r="N72" s="2">
        <f t="shared" si="36"/>
        <v>2240</v>
      </c>
      <c r="O72" s="2">
        <f t="shared" si="37"/>
        <v>17920</v>
      </c>
      <c r="P72" s="2">
        <f t="shared" si="38"/>
        <v>4.9777777777777779</v>
      </c>
      <c r="Q72">
        <v>960</v>
      </c>
      <c r="R72">
        <v>960</v>
      </c>
      <c r="S72" s="2">
        <f t="shared" si="39"/>
        <v>1920</v>
      </c>
      <c r="T72" s="2">
        <f t="shared" si="40"/>
        <v>15360</v>
      </c>
      <c r="U72" s="2">
        <f t="shared" si="41"/>
        <v>4.2666666666666666</v>
      </c>
      <c r="V72">
        <v>960</v>
      </c>
      <c r="W72">
        <v>960</v>
      </c>
      <c r="X72" s="2">
        <f t="shared" si="42"/>
        <v>1920</v>
      </c>
      <c r="Y72" s="2">
        <f t="shared" si="43"/>
        <v>15360</v>
      </c>
      <c r="Z72" s="2">
        <f t="shared" si="44"/>
        <v>4.2666666666666666</v>
      </c>
      <c r="AA72">
        <v>960</v>
      </c>
      <c r="AB72">
        <v>960</v>
      </c>
      <c r="AC72" s="2">
        <f t="shared" si="45"/>
        <v>1920</v>
      </c>
      <c r="AD72" s="2">
        <f t="shared" si="46"/>
        <v>15360</v>
      </c>
      <c r="AE72" s="2">
        <f t="shared" si="47"/>
        <v>4.2666666666666666</v>
      </c>
      <c r="AF72">
        <v>1280</v>
      </c>
      <c r="AG72">
        <v>1280</v>
      </c>
      <c r="AH72" s="2">
        <f t="shared" si="48"/>
        <v>2560</v>
      </c>
      <c r="AI72" s="2">
        <f t="shared" si="49"/>
        <v>20480</v>
      </c>
      <c r="AJ72" s="2">
        <f t="shared" si="50"/>
        <v>5.6888888888888891</v>
      </c>
      <c r="AK72">
        <v>960</v>
      </c>
      <c r="AL72">
        <v>960</v>
      </c>
      <c r="AM72" s="2">
        <f t="shared" si="51"/>
        <v>1920</v>
      </c>
      <c r="AN72" s="2">
        <f t="shared" si="52"/>
        <v>15360</v>
      </c>
      <c r="AO72" s="2">
        <f t="shared" si="53"/>
        <v>4.2666666666666666</v>
      </c>
      <c r="AP72">
        <v>1040</v>
      </c>
      <c r="AQ72">
        <v>1040</v>
      </c>
      <c r="AR72" s="2">
        <f t="shared" si="54"/>
        <v>2080</v>
      </c>
      <c r="AS72" s="2">
        <f t="shared" si="55"/>
        <v>16640</v>
      </c>
      <c r="AT72" s="2">
        <f t="shared" si="56"/>
        <v>4.6222222222222218</v>
      </c>
      <c r="AU72">
        <v>1040</v>
      </c>
      <c r="AV72">
        <v>1040</v>
      </c>
      <c r="AW72" s="2">
        <f t="shared" si="57"/>
        <v>2080</v>
      </c>
      <c r="AX72" s="2">
        <f t="shared" si="58"/>
        <v>16640</v>
      </c>
      <c r="AY72" s="2">
        <f t="shared" si="59"/>
        <v>4.6222222222222218</v>
      </c>
    </row>
    <row r="73" spans="1:51" x14ac:dyDescent="0.3">
      <c r="A73" s="2" t="s">
        <v>77</v>
      </c>
      <c r="B73" s="2">
        <v>1040</v>
      </c>
      <c r="C73" s="2">
        <v>1040</v>
      </c>
      <c r="D73" s="2">
        <f t="shared" si="30"/>
        <v>2080</v>
      </c>
      <c r="E73" s="2">
        <f t="shared" si="31"/>
        <v>16640</v>
      </c>
      <c r="F73" s="2">
        <f t="shared" si="32"/>
        <v>4.6222222222222218</v>
      </c>
      <c r="G73">
        <v>960</v>
      </c>
      <c r="H73">
        <v>960</v>
      </c>
      <c r="I73" s="2">
        <f t="shared" si="33"/>
        <v>1920</v>
      </c>
      <c r="J73" s="2">
        <f t="shared" si="34"/>
        <v>15360</v>
      </c>
      <c r="K73" s="2">
        <f t="shared" si="35"/>
        <v>4.2666666666666666</v>
      </c>
      <c r="L73">
        <v>800</v>
      </c>
      <c r="M73">
        <v>800</v>
      </c>
      <c r="N73" s="2">
        <f t="shared" si="36"/>
        <v>1600</v>
      </c>
      <c r="O73" s="2">
        <f t="shared" si="37"/>
        <v>12800</v>
      </c>
      <c r="P73" s="2">
        <f t="shared" si="38"/>
        <v>3.5555555555555554</v>
      </c>
      <c r="Q73">
        <v>1040</v>
      </c>
      <c r="R73">
        <v>1040</v>
      </c>
      <c r="S73" s="2">
        <f t="shared" si="39"/>
        <v>2080</v>
      </c>
      <c r="T73" s="2">
        <f t="shared" si="40"/>
        <v>16640</v>
      </c>
      <c r="U73" s="2">
        <f t="shared" si="41"/>
        <v>4.6222222222222218</v>
      </c>
      <c r="V73">
        <v>1040</v>
      </c>
      <c r="W73">
        <v>1040</v>
      </c>
      <c r="X73" s="2">
        <f t="shared" si="42"/>
        <v>2080</v>
      </c>
      <c r="Y73" s="2">
        <f t="shared" si="43"/>
        <v>16640</v>
      </c>
      <c r="Z73" s="2">
        <f t="shared" si="44"/>
        <v>4.6222222222222218</v>
      </c>
      <c r="AA73">
        <v>1120</v>
      </c>
      <c r="AB73">
        <v>1120</v>
      </c>
      <c r="AC73" s="2">
        <f t="shared" si="45"/>
        <v>2240</v>
      </c>
      <c r="AD73" s="2">
        <f t="shared" si="46"/>
        <v>17920</v>
      </c>
      <c r="AE73" s="2">
        <f t="shared" si="47"/>
        <v>4.9777777777777779</v>
      </c>
      <c r="AF73">
        <v>1040</v>
      </c>
      <c r="AG73">
        <v>1040</v>
      </c>
      <c r="AH73" s="2">
        <f t="shared" si="48"/>
        <v>2080</v>
      </c>
      <c r="AI73" s="2">
        <f t="shared" si="49"/>
        <v>16640</v>
      </c>
      <c r="AJ73" s="2">
        <f t="shared" si="50"/>
        <v>4.6222222222222218</v>
      </c>
      <c r="AK73">
        <v>1040</v>
      </c>
      <c r="AL73">
        <v>1040</v>
      </c>
      <c r="AM73" s="2">
        <f t="shared" si="51"/>
        <v>2080</v>
      </c>
      <c r="AN73" s="2">
        <f t="shared" si="52"/>
        <v>16640</v>
      </c>
      <c r="AO73" s="2">
        <f t="shared" si="53"/>
        <v>4.6222222222222218</v>
      </c>
      <c r="AP73">
        <v>1040</v>
      </c>
      <c r="AQ73">
        <v>1040</v>
      </c>
      <c r="AR73" s="2">
        <f t="shared" si="54"/>
        <v>2080</v>
      </c>
      <c r="AS73" s="2">
        <f t="shared" si="55"/>
        <v>16640</v>
      </c>
      <c r="AT73" s="2">
        <f t="shared" si="56"/>
        <v>4.6222222222222218</v>
      </c>
      <c r="AU73">
        <v>880</v>
      </c>
      <c r="AV73">
        <v>880</v>
      </c>
      <c r="AW73" s="2">
        <f t="shared" si="57"/>
        <v>1760</v>
      </c>
      <c r="AX73" s="2">
        <f t="shared" si="58"/>
        <v>14080</v>
      </c>
      <c r="AY73" s="2">
        <f t="shared" si="59"/>
        <v>3.911111111111111</v>
      </c>
    </row>
    <row r="74" spans="1:51" x14ac:dyDescent="0.3">
      <c r="A74" s="2" t="s">
        <v>78</v>
      </c>
      <c r="B74" s="2">
        <v>1040</v>
      </c>
      <c r="C74" s="2">
        <v>1040</v>
      </c>
      <c r="D74" s="2">
        <f t="shared" si="30"/>
        <v>2080</v>
      </c>
      <c r="E74" s="2">
        <f t="shared" si="31"/>
        <v>16640</v>
      </c>
      <c r="F74" s="2">
        <f t="shared" si="32"/>
        <v>4.6222222222222218</v>
      </c>
      <c r="G74">
        <v>1040</v>
      </c>
      <c r="H74">
        <v>1040</v>
      </c>
      <c r="I74" s="2">
        <f t="shared" si="33"/>
        <v>2080</v>
      </c>
      <c r="J74" s="2">
        <f t="shared" si="34"/>
        <v>16640</v>
      </c>
      <c r="K74" s="2">
        <f t="shared" si="35"/>
        <v>4.6222222222222218</v>
      </c>
      <c r="L74">
        <v>960</v>
      </c>
      <c r="M74">
        <v>960</v>
      </c>
      <c r="N74" s="2">
        <f t="shared" si="36"/>
        <v>1920</v>
      </c>
      <c r="O74" s="2">
        <f t="shared" si="37"/>
        <v>15360</v>
      </c>
      <c r="P74" s="2">
        <f t="shared" si="38"/>
        <v>4.2666666666666666</v>
      </c>
      <c r="Q74">
        <v>1040</v>
      </c>
      <c r="R74">
        <v>1040</v>
      </c>
      <c r="S74" s="2">
        <f t="shared" si="39"/>
        <v>2080</v>
      </c>
      <c r="T74" s="2">
        <f t="shared" si="40"/>
        <v>16640</v>
      </c>
      <c r="U74" s="2">
        <f t="shared" si="41"/>
        <v>4.6222222222222218</v>
      </c>
      <c r="V74">
        <v>1040</v>
      </c>
      <c r="W74">
        <v>1040</v>
      </c>
      <c r="X74" s="2">
        <f t="shared" si="42"/>
        <v>2080</v>
      </c>
      <c r="Y74" s="2">
        <f t="shared" si="43"/>
        <v>16640</v>
      </c>
      <c r="Z74" s="2">
        <f t="shared" si="44"/>
        <v>4.6222222222222218</v>
      </c>
      <c r="AA74">
        <v>1040</v>
      </c>
      <c r="AB74">
        <v>1040</v>
      </c>
      <c r="AC74" s="2">
        <f t="shared" si="45"/>
        <v>2080</v>
      </c>
      <c r="AD74" s="2">
        <f t="shared" si="46"/>
        <v>16640</v>
      </c>
      <c r="AE74" s="2">
        <f t="shared" si="47"/>
        <v>4.6222222222222218</v>
      </c>
      <c r="AF74">
        <v>960</v>
      </c>
      <c r="AG74">
        <v>960</v>
      </c>
      <c r="AH74" s="2">
        <f t="shared" si="48"/>
        <v>1920</v>
      </c>
      <c r="AI74" s="2">
        <f t="shared" si="49"/>
        <v>15360</v>
      </c>
      <c r="AJ74" s="2">
        <f t="shared" si="50"/>
        <v>4.2666666666666666</v>
      </c>
      <c r="AK74">
        <v>1040</v>
      </c>
      <c r="AL74">
        <v>1040</v>
      </c>
      <c r="AM74" s="2">
        <f t="shared" si="51"/>
        <v>2080</v>
      </c>
      <c r="AN74" s="2">
        <f t="shared" si="52"/>
        <v>16640</v>
      </c>
      <c r="AO74" s="2">
        <f t="shared" si="53"/>
        <v>4.6222222222222218</v>
      </c>
      <c r="AP74">
        <v>960</v>
      </c>
      <c r="AQ74">
        <v>960</v>
      </c>
      <c r="AR74" s="2">
        <f t="shared" si="54"/>
        <v>1920</v>
      </c>
      <c r="AS74" s="2">
        <f t="shared" si="55"/>
        <v>15360</v>
      </c>
      <c r="AT74" s="2">
        <f t="shared" si="56"/>
        <v>4.2666666666666666</v>
      </c>
      <c r="AU74">
        <v>1120</v>
      </c>
      <c r="AV74">
        <v>1120</v>
      </c>
      <c r="AW74" s="2">
        <f t="shared" si="57"/>
        <v>2240</v>
      </c>
      <c r="AX74" s="2">
        <f t="shared" si="58"/>
        <v>17920</v>
      </c>
      <c r="AY74" s="2">
        <f t="shared" si="59"/>
        <v>4.9777777777777779</v>
      </c>
    </row>
    <row r="75" spans="1:51" x14ac:dyDescent="0.3">
      <c r="A75" s="2" t="s">
        <v>79</v>
      </c>
      <c r="B75" s="2">
        <v>1040</v>
      </c>
      <c r="C75" s="2">
        <v>1040</v>
      </c>
      <c r="D75" s="2">
        <f t="shared" si="30"/>
        <v>2080</v>
      </c>
      <c r="E75" s="2">
        <f t="shared" si="31"/>
        <v>16640</v>
      </c>
      <c r="F75" s="2">
        <f t="shared" si="32"/>
        <v>4.6222222222222218</v>
      </c>
      <c r="G75">
        <v>1040</v>
      </c>
      <c r="H75">
        <v>1040</v>
      </c>
      <c r="I75" s="2">
        <f t="shared" si="33"/>
        <v>2080</v>
      </c>
      <c r="J75" s="2">
        <f t="shared" si="34"/>
        <v>16640</v>
      </c>
      <c r="K75" s="2">
        <f t="shared" si="35"/>
        <v>4.6222222222222218</v>
      </c>
      <c r="L75">
        <v>1120</v>
      </c>
      <c r="M75">
        <v>1120</v>
      </c>
      <c r="N75" s="2">
        <f t="shared" si="36"/>
        <v>2240</v>
      </c>
      <c r="O75" s="2">
        <f t="shared" si="37"/>
        <v>17920</v>
      </c>
      <c r="P75" s="2">
        <f t="shared" si="38"/>
        <v>4.9777777777777779</v>
      </c>
      <c r="Q75">
        <v>1120</v>
      </c>
      <c r="R75">
        <v>1120</v>
      </c>
      <c r="S75" s="2">
        <f t="shared" si="39"/>
        <v>2240</v>
      </c>
      <c r="T75" s="2">
        <f t="shared" si="40"/>
        <v>17920</v>
      </c>
      <c r="U75" s="2">
        <f t="shared" si="41"/>
        <v>4.9777777777777779</v>
      </c>
      <c r="V75">
        <v>1120</v>
      </c>
      <c r="W75">
        <v>1120</v>
      </c>
      <c r="X75" s="2">
        <f t="shared" si="42"/>
        <v>2240</v>
      </c>
      <c r="Y75" s="2">
        <f t="shared" si="43"/>
        <v>17920</v>
      </c>
      <c r="Z75" s="2">
        <f t="shared" si="44"/>
        <v>4.9777777777777779</v>
      </c>
      <c r="AA75">
        <v>1200</v>
      </c>
      <c r="AB75">
        <v>1200</v>
      </c>
      <c r="AC75" s="2">
        <f t="shared" si="45"/>
        <v>2400</v>
      </c>
      <c r="AD75" s="2">
        <f t="shared" si="46"/>
        <v>19200</v>
      </c>
      <c r="AE75" s="2">
        <f t="shared" si="47"/>
        <v>5.333333333333333</v>
      </c>
      <c r="AF75">
        <v>960</v>
      </c>
      <c r="AG75">
        <v>960</v>
      </c>
      <c r="AH75" s="2">
        <f t="shared" si="48"/>
        <v>1920</v>
      </c>
      <c r="AI75" s="2">
        <f t="shared" si="49"/>
        <v>15360</v>
      </c>
      <c r="AJ75" s="2">
        <f t="shared" si="50"/>
        <v>4.2666666666666666</v>
      </c>
      <c r="AK75">
        <v>1200</v>
      </c>
      <c r="AL75">
        <v>1200</v>
      </c>
      <c r="AM75" s="2">
        <f t="shared" si="51"/>
        <v>2400</v>
      </c>
      <c r="AN75" s="2">
        <f t="shared" si="52"/>
        <v>19200</v>
      </c>
      <c r="AO75" s="2">
        <f t="shared" si="53"/>
        <v>5.333333333333333</v>
      </c>
      <c r="AP75">
        <v>1040</v>
      </c>
      <c r="AQ75">
        <v>1040</v>
      </c>
      <c r="AR75" s="2">
        <f t="shared" si="54"/>
        <v>2080</v>
      </c>
      <c r="AS75" s="2">
        <f t="shared" si="55"/>
        <v>16640</v>
      </c>
      <c r="AT75" s="2">
        <f t="shared" si="56"/>
        <v>4.6222222222222218</v>
      </c>
      <c r="AU75">
        <v>1120</v>
      </c>
      <c r="AV75">
        <v>1120</v>
      </c>
      <c r="AW75" s="2">
        <f t="shared" si="57"/>
        <v>2240</v>
      </c>
      <c r="AX75" s="2">
        <f t="shared" si="58"/>
        <v>17920</v>
      </c>
      <c r="AY75" s="2">
        <f t="shared" si="59"/>
        <v>4.9777777777777779</v>
      </c>
    </row>
    <row r="76" spans="1:51" x14ac:dyDescent="0.3">
      <c r="A76" s="2" t="s">
        <v>80</v>
      </c>
      <c r="B76" s="2">
        <v>960</v>
      </c>
      <c r="C76" s="2">
        <v>960</v>
      </c>
      <c r="D76" s="2">
        <f t="shared" si="30"/>
        <v>1920</v>
      </c>
      <c r="E76" s="2">
        <f t="shared" si="31"/>
        <v>15360</v>
      </c>
      <c r="F76" s="2">
        <f t="shared" si="32"/>
        <v>4.2666666666666666</v>
      </c>
      <c r="G76">
        <v>960</v>
      </c>
      <c r="H76">
        <v>960</v>
      </c>
      <c r="I76" s="2">
        <f t="shared" si="33"/>
        <v>1920</v>
      </c>
      <c r="J76" s="2">
        <f t="shared" si="34"/>
        <v>15360</v>
      </c>
      <c r="K76" s="2">
        <f t="shared" si="35"/>
        <v>4.2666666666666666</v>
      </c>
      <c r="L76">
        <v>1040</v>
      </c>
      <c r="M76">
        <v>1040</v>
      </c>
      <c r="N76" s="2">
        <f t="shared" si="36"/>
        <v>2080</v>
      </c>
      <c r="O76" s="2">
        <f t="shared" si="37"/>
        <v>16640</v>
      </c>
      <c r="P76" s="2">
        <f t="shared" si="38"/>
        <v>4.6222222222222218</v>
      </c>
      <c r="Q76">
        <v>1200</v>
      </c>
      <c r="R76">
        <v>1200</v>
      </c>
      <c r="S76" s="2">
        <f t="shared" si="39"/>
        <v>2400</v>
      </c>
      <c r="T76" s="2">
        <f t="shared" si="40"/>
        <v>19200</v>
      </c>
      <c r="U76" s="2">
        <f t="shared" si="41"/>
        <v>5.333333333333333</v>
      </c>
      <c r="V76">
        <v>1200</v>
      </c>
      <c r="W76">
        <v>1200</v>
      </c>
      <c r="X76" s="2">
        <f t="shared" si="42"/>
        <v>2400</v>
      </c>
      <c r="Y76" s="2">
        <f t="shared" si="43"/>
        <v>19200</v>
      </c>
      <c r="Z76" s="2">
        <f t="shared" si="44"/>
        <v>5.333333333333333</v>
      </c>
      <c r="AA76">
        <v>1040</v>
      </c>
      <c r="AB76">
        <v>1040</v>
      </c>
      <c r="AC76" s="2">
        <f t="shared" si="45"/>
        <v>2080</v>
      </c>
      <c r="AD76" s="2">
        <f t="shared" si="46"/>
        <v>16640</v>
      </c>
      <c r="AE76" s="2">
        <f t="shared" si="47"/>
        <v>4.6222222222222218</v>
      </c>
      <c r="AF76">
        <v>1040</v>
      </c>
      <c r="AG76">
        <v>1040</v>
      </c>
      <c r="AH76" s="2">
        <f t="shared" si="48"/>
        <v>2080</v>
      </c>
      <c r="AI76" s="2">
        <f t="shared" si="49"/>
        <v>16640</v>
      </c>
      <c r="AJ76" s="2">
        <f t="shared" si="50"/>
        <v>4.6222222222222218</v>
      </c>
      <c r="AK76">
        <v>1120</v>
      </c>
      <c r="AL76">
        <v>1120</v>
      </c>
      <c r="AM76" s="2">
        <f t="shared" si="51"/>
        <v>2240</v>
      </c>
      <c r="AN76" s="2">
        <f t="shared" si="52"/>
        <v>17920</v>
      </c>
      <c r="AO76" s="2">
        <f t="shared" si="53"/>
        <v>4.9777777777777779</v>
      </c>
      <c r="AP76">
        <v>1040</v>
      </c>
      <c r="AQ76">
        <v>1040</v>
      </c>
      <c r="AR76" s="2">
        <f t="shared" si="54"/>
        <v>2080</v>
      </c>
      <c r="AS76" s="2">
        <f t="shared" si="55"/>
        <v>16640</v>
      </c>
      <c r="AT76" s="2">
        <f t="shared" si="56"/>
        <v>4.6222222222222218</v>
      </c>
      <c r="AU76">
        <v>1120</v>
      </c>
      <c r="AV76">
        <v>1120</v>
      </c>
      <c r="AW76" s="2">
        <f t="shared" si="57"/>
        <v>2240</v>
      </c>
      <c r="AX76" s="2">
        <f t="shared" si="58"/>
        <v>17920</v>
      </c>
      <c r="AY76" s="2">
        <f t="shared" si="59"/>
        <v>4.9777777777777779</v>
      </c>
    </row>
    <row r="77" spans="1:51" x14ac:dyDescent="0.3">
      <c r="A77" s="2" t="s">
        <v>81</v>
      </c>
      <c r="B77" s="2">
        <v>1040</v>
      </c>
      <c r="C77" s="2">
        <v>1040</v>
      </c>
      <c r="D77" s="2">
        <f t="shared" si="30"/>
        <v>2080</v>
      </c>
      <c r="E77" s="2">
        <f t="shared" si="31"/>
        <v>16640</v>
      </c>
      <c r="F77" s="2">
        <f t="shared" si="32"/>
        <v>4.6222222222222218</v>
      </c>
      <c r="G77">
        <v>1120</v>
      </c>
      <c r="H77">
        <v>1120</v>
      </c>
      <c r="I77" s="2">
        <f t="shared" si="33"/>
        <v>2240</v>
      </c>
      <c r="J77" s="2">
        <f t="shared" si="34"/>
        <v>17920</v>
      </c>
      <c r="K77" s="2">
        <f t="shared" si="35"/>
        <v>4.9777777777777779</v>
      </c>
      <c r="L77">
        <v>1040</v>
      </c>
      <c r="M77">
        <v>1040</v>
      </c>
      <c r="N77" s="2">
        <f t="shared" si="36"/>
        <v>2080</v>
      </c>
      <c r="O77" s="2">
        <f t="shared" si="37"/>
        <v>16640</v>
      </c>
      <c r="P77" s="2">
        <f t="shared" si="38"/>
        <v>4.6222222222222218</v>
      </c>
      <c r="Q77">
        <v>1040</v>
      </c>
      <c r="R77">
        <v>1040</v>
      </c>
      <c r="S77" s="2">
        <f t="shared" si="39"/>
        <v>2080</v>
      </c>
      <c r="T77" s="2">
        <f t="shared" si="40"/>
        <v>16640</v>
      </c>
      <c r="U77" s="2">
        <f t="shared" si="41"/>
        <v>4.6222222222222218</v>
      </c>
      <c r="V77">
        <v>1040</v>
      </c>
      <c r="W77">
        <v>1040</v>
      </c>
      <c r="X77" s="2">
        <f t="shared" si="42"/>
        <v>2080</v>
      </c>
      <c r="Y77" s="2">
        <f t="shared" si="43"/>
        <v>16640</v>
      </c>
      <c r="Z77" s="2">
        <f t="shared" si="44"/>
        <v>4.6222222222222218</v>
      </c>
      <c r="AA77">
        <v>1040</v>
      </c>
      <c r="AB77">
        <v>1040</v>
      </c>
      <c r="AC77" s="2">
        <f t="shared" si="45"/>
        <v>2080</v>
      </c>
      <c r="AD77" s="2">
        <f t="shared" si="46"/>
        <v>16640</v>
      </c>
      <c r="AE77" s="2">
        <f t="shared" si="47"/>
        <v>4.6222222222222218</v>
      </c>
      <c r="AF77">
        <v>960</v>
      </c>
      <c r="AG77">
        <v>960</v>
      </c>
      <c r="AH77" s="2">
        <f t="shared" si="48"/>
        <v>1920</v>
      </c>
      <c r="AI77" s="2">
        <f t="shared" si="49"/>
        <v>15360</v>
      </c>
      <c r="AJ77" s="2">
        <f t="shared" si="50"/>
        <v>4.2666666666666666</v>
      </c>
      <c r="AK77">
        <v>1120</v>
      </c>
      <c r="AL77">
        <v>1120</v>
      </c>
      <c r="AM77" s="2">
        <f t="shared" si="51"/>
        <v>2240</v>
      </c>
      <c r="AN77" s="2">
        <f t="shared" si="52"/>
        <v>17920</v>
      </c>
      <c r="AO77" s="2">
        <f t="shared" si="53"/>
        <v>4.9777777777777779</v>
      </c>
      <c r="AP77">
        <v>1040</v>
      </c>
      <c r="AQ77">
        <v>1040</v>
      </c>
      <c r="AR77" s="2">
        <f t="shared" si="54"/>
        <v>2080</v>
      </c>
      <c r="AS77" s="2">
        <f t="shared" si="55"/>
        <v>16640</v>
      </c>
      <c r="AT77" s="2">
        <f t="shared" si="56"/>
        <v>4.6222222222222218</v>
      </c>
      <c r="AU77">
        <v>1200</v>
      </c>
      <c r="AV77">
        <v>1200</v>
      </c>
      <c r="AW77" s="2">
        <f t="shared" si="57"/>
        <v>2400</v>
      </c>
      <c r="AX77" s="2">
        <f t="shared" si="58"/>
        <v>19200</v>
      </c>
      <c r="AY77" s="2">
        <f t="shared" si="59"/>
        <v>5.333333333333333</v>
      </c>
    </row>
    <row r="78" spans="1:51" x14ac:dyDescent="0.3">
      <c r="A78" s="2" t="s">
        <v>82</v>
      </c>
      <c r="B78" s="2">
        <v>1040</v>
      </c>
      <c r="C78" s="2">
        <v>1040</v>
      </c>
      <c r="D78" s="2">
        <f t="shared" si="30"/>
        <v>2080</v>
      </c>
      <c r="E78" s="2">
        <f t="shared" si="31"/>
        <v>16640</v>
      </c>
      <c r="F78" s="2">
        <f t="shared" si="32"/>
        <v>4.6222222222222218</v>
      </c>
      <c r="G78">
        <v>1200</v>
      </c>
      <c r="H78">
        <v>1200</v>
      </c>
      <c r="I78" s="2">
        <f t="shared" si="33"/>
        <v>2400</v>
      </c>
      <c r="J78" s="2">
        <f t="shared" si="34"/>
        <v>19200</v>
      </c>
      <c r="K78" s="2">
        <f t="shared" si="35"/>
        <v>5.333333333333333</v>
      </c>
      <c r="L78">
        <v>1120</v>
      </c>
      <c r="M78">
        <v>1120</v>
      </c>
      <c r="N78" s="2">
        <f t="shared" si="36"/>
        <v>2240</v>
      </c>
      <c r="O78" s="2">
        <f t="shared" si="37"/>
        <v>17920</v>
      </c>
      <c r="P78" s="2">
        <f t="shared" si="38"/>
        <v>4.9777777777777779</v>
      </c>
      <c r="Q78">
        <v>1280</v>
      </c>
      <c r="R78">
        <v>1280</v>
      </c>
      <c r="S78" s="2">
        <f t="shared" si="39"/>
        <v>2560</v>
      </c>
      <c r="T78" s="2">
        <f t="shared" si="40"/>
        <v>20480</v>
      </c>
      <c r="U78" s="2">
        <f t="shared" si="41"/>
        <v>5.6888888888888891</v>
      </c>
      <c r="V78">
        <v>1280</v>
      </c>
      <c r="W78">
        <v>1280</v>
      </c>
      <c r="X78" s="2">
        <f t="shared" si="42"/>
        <v>2560</v>
      </c>
      <c r="Y78" s="2">
        <f t="shared" si="43"/>
        <v>20480</v>
      </c>
      <c r="Z78" s="2">
        <f t="shared" si="44"/>
        <v>5.6888888888888891</v>
      </c>
      <c r="AA78">
        <v>1120</v>
      </c>
      <c r="AB78">
        <v>1120</v>
      </c>
      <c r="AC78" s="2">
        <f t="shared" si="45"/>
        <v>2240</v>
      </c>
      <c r="AD78" s="2">
        <f t="shared" si="46"/>
        <v>17920</v>
      </c>
      <c r="AE78" s="2">
        <f t="shared" si="47"/>
        <v>4.9777777777777779</v>
      </c>
      <c r="AF78">
        <v>1120</v>
      </c>
      <c r="AG78">
        <v>1120</v>
      </c>
      <c r="AH78" s="2">
        <f t="shared" si="48"/>
        <v>2240</v>
      </c>
      <c r="AI78" s="2">
        <f t="shared" si="49"/>
        <v>17920</v>
      </c>
      <c r="AJ78" s="2">
        <f t="shared" si="50"/>
        <v>4.9777777777777779</v>
      </c>
      <c r="AK78">
        <v>1120</v>
      </c>
      <c r="AL78">
        <v>1120</v>
      </c>
      <c r="AM78" s="2">
        <f t="shared" si="51"/>
        <v>2240</v>
      </c>
      <c r="AN78" s="2">
        <f t="shared" si="52"/>
        <v>17920</v>
      </c>
      <c r="AO78" s="2">
        <f t="shared" si="53"/>
        <v>4.9777777777777779</v>
      </c>
      <c r="AP78">
        <v>1120</v>
      </c>
      <c r="AQ78">
        <v>1120</v>
      </c>
      <c r="AR78" s="2">
        <f t="shared" si="54"/>
        <v>2240</v>
      </c>
      <c r="AS78" s="2">
        <f t="shared" si="55"/>
        <v>17920</v>
      </c>
      <c r="AT78" s="2">
        <f t="shared" si="56"/>
        <v>4.9777777777777779</v>
      </c>
      <c r="AU78">
        <v>1200</v>
      </c>
      <c r="AV78">
        <v>1200</v>
      </c>
      <c r="AW78" s="2">
        <f t="shared" si="57"/>
        <v>2400</v>
      </c>
      <c r="AX78" s="2">
        <f t="shared" si="58"/>
        <v>19200</v>
      </c>
      <c r="AY78" s="2">
        <f t="shared" si="59"/>
        <v>5.333333333333333</v>
      </c>
    </row>
    <row r="79" spans="1:51" x14ac:dyDescent="0.3">
      <c r="A79" s="2" t="s">
        <v>83</v>
      </c>
      <c r="B79" s="2">
        <v>1040</v>
      </c>
      <c r="C79" s="2">
        <v>1040</v>
      </c>
      <c r="D79" s="2">
        <f t="shared" si="30"/>
        <v>2080</v>
      </c>
      <c r="E79" s="2">
        <f t="shared" si="31"/>
        <v>16640</v>
      </c>
      <c r="F79" s="2">
        <f t="shared" si="32"/>
        <v>4.6222222222222218</v>
      </c>
      <c r="G79">
        <v>1040</v>
      </c>
      <c r="H79">
        <v>1040</v>
      </c>
      <c r="I79" s="2">
        <f t="shared" si="33"/>
        <v>2080</v>
      </c>
      <c r="J79" s="2">
        <f t="shared" si="34"/>
        <v>16640</v>
      </c>
      <c r="K79" s="2">
        <f t="shared" si="35"/>
        <v>4.6222222222222218</v>
      </c>
      <c r="L79">
        <v>960</v>
      </c>
      <c r="M79">
        <v>960</v>
      </c>
      <c r="N79" s="2">
        <f t="shared" si="36"/>
        <v>1920</v>
      </c>
      <c r="O79" s="2">
        <f t="shared" si="37"/>
        <v>15360</v>
      </c>
      <c r="P79" s="2">
        <f t="shared" si="38"/>
        <v>4.2666666666666666</v>
      </c>
      <c r="Q79">
        <v>960</v>
      </c>
      <c r="R79">
        <v>960</v>
      </c>
      <c r="S79" s="2">
        <f t="shared" si="39"/>
        <v>1920</v>
      </c>
      <c r="T79" s="2">
        <f t="shared" si="40"/>
        <v>15360</v>
      </c>
      <c r="U79" s="2">
        <f t="shared" si="41"/>
        <v>4.2666666666666666</v>
      </c>
      <c r="V79">
        <v>960</v>
      </c>
      <c r="W79">
        <v>960</v>
      </c>
      <c r="X79" s="2">
        <f t="shared" si="42"/>
        <v>1920</v>
      </c>
      <c r="Y79" s="2">
        <f t="shared" si="43"/>
        <v>15360</v>
      </c>
      <c r="Z79" s="2">
        <f t="shared" si="44"/>
        <v>4.2666666666666666</v>
      </c>
      <c r="AA79">
        <v>1200</v>
      </c>
      <c r="AB79">
        <v>1200</v>
      </c>
      <c r="AC79" s="2">
        <f t="shared" si="45"/>
        <v>2400</v>
      </c>
      <c r="AD79" s="2">
        <f t="shared" si="46"/>
        <v>19200</v>
      </c>
      <c r="AE79" s="2">
        <f t="shared" si="47"/>
        <v>5.333333333333333</v>
      </c>
      <c r="AF79">
        <v>1040</v>
      </c>
      <c r="AG79">
        <v>1040</v>
      </c>
      <c r="AH79" s="2">
        <f t="shared" si="48"/>
        <v>2080</v>
      </c>
      <c r="AI79" s="2">
        <f t="shared" si="49"/>
        <v>16640</v>
      </c>
      <c r="AJ79" s="2">
        <f t="shared" si="50"/>
        <v>4.6222222222222218</v>
      </c>
      <c r="AK79">
        <v>1040</v>
      </c>
      <c r="AL79">
        <v>1040</v>
      </c>
      <c r="AM79" s="2">
        <f t="shared" si="51"/>
        <v>2080</v>
      </c>
      <c r="AN79" s="2">
        <f t="shared" si="52"/>
        <v>16640</v>
      </c>
      <c r="AO79" s="2">
        <f t="shared" si="53"/>
        <v>4.6222222222222218</v>
      </c>
      <c r="AP79">
        <v>1200</v>
      </c>
      <c r="AQ79">
        <v>1200</v>
      </c>
      <c r="AR79" s="2">
        <f t="shared" si="54"/>
        <v>2400</v>
      </c>
      <c r="AS79" s="2">
        <f t="shared" si="55"/>
        <v>19200</v>
      </c>
      <c r="AT79" s="2">
        <f t="shared" si="56"/>
        <v>5.333333333333333</v>
      </c>
      <c r="AU79">
        <v>1040</v>
      </c>
      <c r="AV79">
        <v>1040</v>
      </c>
      <c r="AW79" s="2">
        <f t="shared" si="57"/>
        <v>2080</v>
      </c>
      <c r="AX79" s="2">
        <f t="shared" si="58"/>
        <v>16640</v>
      </c>
      <c r="AY79" s="2">
        <f t="shared" si="59"/>
        <v>4.6222222222222218</v>
      </c>
    </row>
    <row r="80" spans="1:51" x14ac:dyDescent="0.3">
      <c r="A80" s="2" t="s">
        <v>84</v>
      </c>
      <c r="B80" s="2">
        <v>1120</v>
      </c>
      <c r="C80" s="2">
        <v>1120</v>
      </c>
      <c r="D80" s="2">
        <f t="shared" si="30"/>
        <v>2240</v>
      </c>
      <c r="E80" s="2">
        <f t="shared" si="31"/>
        <v>17920</v>
      </c>
      <c r="F80" s="2">
        <f t="shared" si="32"/>
        <v>4.9777777777777779</v>
      </c>
      <c r="G80">
        <v>1200</v>
      </c>
      <c r="H80">
        <v>1200</v>
      </c>
      <c r="I80" s="2">
        <f t="shared" si="33"/>
        <v>2400</v>
      </c>
      <c r="J80" s="2">
        <f t="shared" si="34"/>
        <v>19200</v>
      </c>
      <c r="K80" s="2">
        <f t="shared" si="35"/>
        <v>5.333333333333333</v>
      </c>
      <c r="L80">
        <v>1120</v>
      </c>
      <c r="M80">
        <v>1120</v>
      </c>
      <c r="N80" s="2">
        <f t="shared" si="36"/>
        <v>2240</v>
      </c>
      <c r="O80" s="2">
        <f t="shared" si="37"/>
        <v>17920</v>
      </c>
      <c r="P80" s="2">
        <f t="shared" si="38"/>
        <v>4.9777777777777779</v>
      </c>
      <c r="Q80">
        <v>1200</v>
      </c>
      <c r="R80">
        <v>1200</v>
      </c>
      <c r="S80" s="2">
        <f t="shared" si="39"/>
        <v>2400</v>
      </c>
      <c r="T80" s="2">
        <f t="shared" si="40"/>
        <v>19200</v>
      </c>
      <c r="U80" s="2">
        <f t="shared" si="41"/>
        <v>5.333333333333333</v>
      </c>
      <c r="V80">
        <v>1200</v>
      </c>
      <c r="W80">
        <v>1200</v>
      </c>
      <c r="X80" s="2">
        <f t="shared" si="42"/>
        <v>2400</v>
      </c>
      <c r="Y80" s="2">
        <f t="shared" si="43"/>
        <v>19200</v>
      </c>
      <c r="Z80" s="2">
        <f t="shared" si="44"/>
        <v>5.333333333333333</v>
      </c>
      <c r="AA80">
        <v>960</v>
      </c>
      <c r="AB80">
        <v>960</v>
      </c>
      <c r="AC80" s="2">
        <f t="shared" si="45"/>
        <v>1920</v>
      </c>
      <c r="AD80" s="2">
        <f t="shared" si="46"/>
        <v>15360</v>
      </c>
      <c r="AE80" s="2">
        <f t="shared" si="47"/>
        <v>4.2666666666666666</v>
      </c>
      <c r="AF80">
        <v>960</v>
      </c>
      <c r="AG80">
        <v>960</v>
      </c>
      <c r="AH80" s="2">
        <f t="shared" si="48"/>
        <v>1920</v>
      </c>
      <c r="AI80" s="2">
        <f t="shared" si="49"/>
        <v>15360</v>
      </c>
      <c r="AJ80" s="2">
        <f t="shared" si="50"/>
        <v>4.2666666666666666</v>
      </c>
      <c r="AK80">
        <v>960</v>
      </c>
      <c r="AL80">
        <v>960</v>
      </c>
      <c r="AM80" s="2">
        <f t="shared" si="51"/>
        <v>1920</v>
      </c>
      <c r="AN80" s="2">
        <f t="shared" si="52"/>
        <v>15360</v>
      </c>
      <c r="AO80" s="2">
        <f t="shared" si="53"/>
        <v>4.2666666666666666</v>
      </c>
      <c r="AP80">
        <v>1200</v>
      </c>
      <c r="AQ80">
        <v>1200</v>
      </c>
      <c r="AR80" s="2">
        <f t="shared" si="54"/>
        <v>2400</v>
      </c>
      <c r="AS80" s="2">
        <f t="shared" si="55"/>
        <v>19200</v>
      </c>
      <c r="AT80" s="2">
        <f t="shared" si="56"/>
        <v>5.333333333333333</v>
      </c>
      <c r="AU80">
        <v>1200</v>
      </c>
      <c r="AV80">
        <v>1200</v>
      </c>
      <c r="AW80" s="2">
        <f t="shared" si="57"/>
        <v>2400</v>
      </c>
      <c r="AX80" s="2">
        <f t="shared" si="58"/>
        <v>19200</v>
      </c>
      <c r="AY80" s="2">
        <f t="shared" si="59"/>
        <v>5.333333333333333</v>
      </c>
    </row>
    <row r="81" spans="1:51" x14ac:dyDescent="0.3">
      <c r="A81" s="2" t="s">
        <v>85</v>
      </c>
      <c r="B81" s="2">
        <v>1040</v>
      </c>
      <c r="C81" s="2">
        <v>1040</v>
      </c>
      <c r="D81" s="2">
        <f t="shared" si="30"/>
        <v>2080</v>
      </c>
      <c r="E81" s="2">
        <f t="shared" si="31"/>
        <v>16640</v>
      </c>
      <c r="F81" s="2">
        <f t="shared" si="32"/>
        <v>4.6222222222222218</v>
      </c>
      <c r="G81">
        <v>800</v>
      </c>
      <c r="H81">
        <v>800</v>
      </c>
      <c r="I81" s="2">
        <f t="shared" si="33"/>
        <v>1600</v>
      </c>
      <c r="J81" s="2">
        <f t="shared" si="34"/>
        <v>12800</v>
      </c>
      <c r="K81" s="2">
        <f t="shared" si="35"/>
        <v>3.5555555555555554</v>
      </c>
      <c r="L81">
        <v>880</v>
      </c>
      <c r="M81">
        <v>880</v>
      </c>
      <c r="N81" s="2">
        <f t="shared" si="36"/>
        <v>1760</v>
      </c>
      <c r="O81" s="2">
        <f t="shared" si="37"/>
        <v>14080</v>
      </c>
      <c r="P81" s="2">
        <f t="shared" si="38"/>
        <v>3.911111111111111</v>
      </c>
      <c r="Q81">
        <v>800</v>
      </c>
      <c r="R81">
        <v>800</v>
      </c>
      <c r="S81" s="2">
        <f t="shared" si="39"/>
        <v>1600</v>
      </c>
      <c r="T81" s="2">
        <f t="shared" si="40"/>
        <v>12800</v>
      </c>
      <c r="U81" s="2">
        <f t="shared" si="41"/>
        <v>3.5555555555555554</v>
      </c>
      <c r="V81">
        <v>800</v>
      </c>
      <c r="W81">
        <v>800</v>
      </c>
      <c r="X81" s="2">
        <f t="shared" si="42"/>
        <v>1600</v>
      </c>
      <c r="Y81" s="2">
        <f t="shared" si="43"/>
        <v>12800</v>
      </c>
      <c r="Z81" s="2">
        <f t="shared" si="44"/>
        <v>3.5555555555555554</v>
      </c>
      <c r="AA81">
        <v>1120</v>
      </c>
      <c r="AB81">
        <v>1120</v>
      </c>
      <c r="AC81" s="2">
        <f t="shared" si="45"/>
        <v>2240</v>
      </c>
      <c r="AD81" s="2">
        <f t="shared" si="46"/>
        <v>17920</v>
      </c>
      <c r="AE81" s="2">
        <f t="shared" si="47"/>
        <v>4.9777777777777779</v>
      </c>
      <c r="AF81">
        <v>1280</v>
      </c>
      <c r="AG81">
        <v>1280</v>
      </c>
      <c r="AH81" s="2">
        <f t="shared" si="48"/>
        <v>2560</v>
      </c>
      <c r="AI81" s="2">
        <f t="shared" si="49"/>
        <v>20480</v>
      </c>
      <c r="AJ81" s="2">
        <f t="shared" si="50"/>
        <v>5.6888888888888891</v>
      </c>
      <c r="AK81">
        <v>880</v>
      </c>
      <c r="AL81">
        <v>880</v>
      </c>
      <c r="AM81" s="2">
        <f t="shared" si="51"/>
        <v>1760</v>
      </c>
      <c r="AN81" s="2">
        <f t="shared" si="52"/>
        <v>14080</v>
      </c>
      <c r="AO81" s="2">
        <f t="shared" si="53"/>
        <v>3.911111111111111</v>
      </c>
      <c r="AP81">
        <v>1040</v>
      </c>
      <c r="AQ81">
        <v>1040</v>
      </c>
      <c r="AR81" s="2">
        <f t="shared" si="54"/>
        <v>2080</v>
      </c>
      <c r="AS81" s="2">
        <f t="shared" si="55"/>
        <v>16640</v>
      </c>
      <c r="AT81" s="2">
        <f t="shared" si="56"/>
        <v>4.6222222222222218</v>
      </c>
      <c r="AU81">
        <v>1200</v>
      </c>
      <c r="AV81">
        <v>1200</v>
      </c>
      <c r="AW81" s="2">
        <f t="shared" si="57"/>
        <v>2400</v>
      </c>
      <c r="AX81" s="2">
        <f t="shared" si="58"/>
        <v>19200</v>
      </c>
      <c r="AY81" s="2">
        <f t="shared" si="59"/>
        <v>5.333333333333333</v>
      </c>
    </row>
    <row r="82" spans="1:51" x14ac:dyDescent="0.3">
      <c r="A82" s="2" t="s">
        <v>86</v>
      </c>
      <c r="B82" s="2">
        <v>1040</v>
      </c>
      <c r="C82" s="2">
        <v>1040</v>
      </c>
      <c r="D82" s="2">
        <f t="shared" si="30"/>
        <v>2080</v>
      </c>
      <c r="E82" s="2">
        <f t="shared" si="31"/>
        <v>16640</v>
      </c>
      <c r="F82" s="2">
        <f t="shared" si="32"/>
        <v>4.6222222222222218</v>
      </c>
      <c r="G82">
        <v>960</v>
      </c>
      <c r="H82">
        <v>960</v>
      </c>
      <c r="I82" s="2">
        <f t="shared" si="33"/>
        <v>1920</v>
      </c>
      <c r="J82" s="2">
        <f t="shared" si="34"/>
        <v>15360</v>
      </c>
      <c r="K82" s="2">
        <f t="shared" si="35"/>
        <v>4.2666666666666666</v>
      </c>
      <c r="L82">
        <v>960</v>
      </c>
      <c r="M82">
        <v>960</v>
      </c>
      <c r="N82" s="2">
        <f t="shared" si="36"/>
        <v>1920</v>
      </c>
      <c r="O82" s="2">
        <f t="shared" si="37"/>
        <v>15360</v>
      </c>
      <c r="P82" s="2">
        <f t="shared" si="38"/>
        <v>4.2666666666666666</v>
      </c>
      <c r="Q82">
        <v>1120</v>
      </c>
      <c r="R82">
        <v>1120</v>
      </c>
      <c r="S82" s="2">
        <f t="shared" si="39"/>
        <v>2240</v>
      </c>
      <c r="T82" s="2">
        <f t="shared" si="40"/>
        <v>17920</v>
      </c>
      <c r="U82" s="2">
        <f t="shared" si="41"/>
        <v>4.9777777777777779</v>
      </c>
      <c r="V82">
        <v>1120</v>
      </c>
      <c r="W82">
        <v>1120</v>
      </c>
      <c r="X82" s="2">
        <f t="shared" si="42"/>
        <v>2240</v>
      </c>
      <c r="Y82" s="2">
        <f t="shared" si="43"/>
        <v>17920</v>
      </c>
      <c r="Z82" s="2">
        <f t="shared" si="44"/>
        <v>4.9777777777777779</v>
      </c>
      <c r="AA82">
        <v>1040</v>
      </c>
      <c r="AB82">
        <v>1040</v>
      </c>
      <c r="AC82" s="2">
        <f t="shared" si="45"/>
        <v>2080</v>
      </c>
      <c r="AD82" s="2">
        <f t="shared" si="46"/>
        <v>16640</v>
      </c>
      <c r="AE82" s="2">
        <f t="shared" si="47"/>
        <v>4.6222222222222218</v>
      </c>
      <c r="AF82">
        <v>1120</v>
      </c>
      <c r="AG82">
        <v>1120</v>
      </c>
      <c r="AH82" s="2">
        <f t="shared" si="48"/>
        <v>2240</v>
      </c>
      <c r="AI82" s="2">
        <f t="shared" si="49"/>
        <v>17920</v>
      </c>
      <c r="AJ82" s="2">
        <f t="shared" si="50"/>
        <v>4.9777777777777779</v>
      </c>
      <c r="AK82">
        <v>960</v>
      </c>
      <c r="AL82">
        <v>960</v>
      </c>
      <c r="AM82" s="2">
        <f t="shared" si="51"/>
        <v>1920</v>
      </c>
      <c r="AN82" s="2">
        <f t="shared" si="52"/>
        <v>15360</v>
      </c>
      <c r="AO82" s="2">
        <f t="shared" si="53"/>
        <v>4.2666666666666666</v>
      </c>
      <c r="AP82">
        <v>800</v>
      </c>
      <c r="AQ82">
        <v>800</v>
      </c>
      <c r="AR82" s="2">
        <f t="shared" si="54"/>
        <v>1600</v>
      </c>
      <c r="AS82" s="2">
        <f t="shared" si="55"/>
        <v>12800</v>
      </c>
      <c r="AT82" s="2">
        <f t="shared" si="56"/>
        <v>3.5555555555555554</v>
      </c>
      <c r="AU82">
        <v>1200</v>
      </c>
      <c r="AV82">
        <v>1200</v>
      </c>
      <c r="AW82" s="2">
        <f t="shared" si="57"/>
        <v>2400</v>
      </c>
      <c r="AX82" s="2">
        <f t="shared" si="58"/>
        <v>19200</v>
      </c>
      <c r="AY82" s="2">
        <f t="shared" si="59"/>
        <v>5.333333333333333</v>
      </c>
    </row>
    <row r="83" spans="1:51" x14ac:dyDescent="0.3">
      <c r="A83" s="2" t="s">
        <v>87</v>
      </c>
      <c r="B83" s="2">
        <v>1040</v>
      </c>
      <c r="C83" s="2">
        <v>1040</v>
      </c>
      <c r="D83" s="2">
        <f t="shared" si="30"/>
        <v>2080</v>
      </c>
      <c r="E83" s="2">
        <f t="shared" si="31"/>
        <v>16640</v>
      </c>
      <c r="F83" s="2">
        <f t="shared" si="32"/>
        <v>4.6222222222222218</v>
      </c>
      <c r="G83">
        <v>1040</v>
      </c>
      <c r="H83">
        <v>1040</v>
      </c>
      <c r="I83" s="2">
        <f t="shared" si="33"/>
        <v>2080</v>
      </c>
      <c r="J83" s="2">
        <f t="shared" si="34"/>
        <v>16640</v>
      </c>
      <c r="K83" s="2">
        <f t="shared" si="35"/>
        <v>4.6222222222222218</v>
      </c>
      <c r="L83">
        <v>1040</v>
      </c>
      <c r="M83">
        <v>1040</v>
      </c>
      <c r="N83" s="2">
        <f t="shared" si="36"/>
        <v>2080</v>
      </c>
      <c r="O83" s="2">
        <f t="shared" si="37"/>
        <v>16640</v>
      </c>
      <c r="P83" s="2">
        <f t="shared" si="38"/>
        <v>4.6222222222222218</v>
      </c>
      <c r="Q83">
        <v>1200</v>
      </c>
      <c r="R83">
        <v>1200</v>
      </c>
      <c r="S83" s="2">
        <f t="shared" si="39"/>
        <v>2400</v>
      </c>
      <c r="T83" s="2">
        <f t="shared" si="40"/>
        <v>19200</v>
      </c>
      <c r="U83" s="2">
        <f t="shared" si="41"/>
        <v>5.333333333333333</v>
      </c>
      <c r="V83">
        <v>1200</v>
      </c>
      <c r="W83">
        <v>1200</v>
      </c>
      <c r="X83" s="2">
        <f t="shared" si="42"/>
        <v>2400</v>
      </c>
      <c r="Y83" s="2">
        <f t="shared" si="43"/>
        <v>19200</v>
      </c>
      <c r="Z83" s="2">
        <f t="shared" si="44"/>
        <v>5.333333333333333</v>
      </c>
      <c r="AA83">
        <v>1280</v>
      </c>
      <c r="AB83">
        <v>1280</v>
      </c>
      <c r="AC83" s="2">
        <f t="shared" si="45"/>
        <v>2560</v>
      </c>
      <c r="AD83" s="2">
        <f t="shared" si="46"/>
        <v>20480</v>
      </c>
      <c r="AE83" s="2">
        <f t="shared" si="47"/>
        <v>5.6888888888888891</v>
      </c>
      <c r="AF83">
        <v>960</v>
      </c>
      <c r="AG83">
        <v>960</v>
      </c>
      <c r="AH83" s="2">
        <f t="shared" si="48"/>
        <v>1920</v>
      </c>
      <c r="AI83" s="2">
        <f t="shared" si="49"/>
        <v>15360</v>
      </c>
      <c r="AJ83" s="2">
        <f t="shared" si="50"/>
        <v>4.2666666666666666</v>
      </c>
      <c r="AK83">
        <v>1200</v>
      </c>
      <c r="AL83">
        <v>1200</v>
      </c>
      <c r="AM83" s="2">
        <f t="shared" si="51"/>
        <v>2400</v>
      </c>
      <c r="AN83" s="2">
        <f t="shared" si="52"/>
        <v>19200</v>
      </c>
      <c r="AO83" s="2">
        <f t="shared" si="53"/>
        <v>5.333333333333333</v>
      </c>
      <c r="AP83">
        <v>1200</v>
      </c>
      <c r="AQ83">
        <v>1200</v>
      </c>
      <c r="AR83" s="2">
        <f t="shared" si="54"/>
        <v>2400</v>
      </c>
      <c r="AS83" s="2">
        <f t="shared" si="55"/>
        <v>19200</v>
      </c>
      <c r="AT83" s="2">
        <f t="shared" si="56"/>
        <v>5.333333333333333</v>
      </c>
      <c r="AU83">
        <v>880</v>
      </c>
      <c r="AV83">
        <v>880</v>
      </c>
      <c r="AW83" s="2">
        <f t="shared" si="57"/>
        <v>1760</v>
      </c>
      <c r="AX83" s="2">
        <f t="shared" si="58"/>
        <v>14080</v>
      </c>
      <c r="AY83" s="2">
        <f t="shared" si="59"/>
        <v>3.911111111111111</v>
      </c>
    </row>
    <row r="84" spans="1:51" x14ac:dyDescent="0.3">
      <c r="A84" s="2" t="s">
        <v>88</v>
      </c>
      <c r="B84" s="2">
        <v>1120</v>
      </c>
      <c r="C84" s="2">
        <v>1120</v>
      </c>
      <c r="D84" s="2">
        <f t="shared" si="30"/>
        <v>2240</v>
      </c>
      <c r="E84" s="2">
        <f t="shared" si="31"/>
        <v>17920</v>
      </c>
      <c r="F84" s="2">
        <f t="shared" si="32"/>
        <v>4.9777777777777779</v>
      </c>
      <c r="G84">
        <v>1120</v>
      </c>
      <c r="H84">
        <v>1120</v>
      </c>
      <c r="I84" s="2">
        <f t="shared" si="33"/>
        <v>2240</v>
      </c>
      <c r="J84" s="2">
        <f t="shared" si="34"/>
        <v>17920</v>
      </c>
      <c r="K84" s="2">
        <f t="shared" si="35"/>
        <v>4.9777777777777779</v>
      </c>
      <c r="L84">
        <v>1280</v>
      </c>
      <c r="M84">
        <v>1280</v>
      </c>
      <c r="N84" s="2">
        <f t="shared" si="36"/>
        <v>2560</v>
      </c>
      <c r="O84" s="2">
        <f t="shared" si="37"/>
        <v>20480</v>
      </c>
      <c r="P84" s="2">
        <f t="shared" si="38"/>
        <v>5.6888888888888891</v>
      </c>
      <c r="Q84">
        <v>1280</v>
      </c>
      <c r="R84">
        <v>1280</v>
      </c>
      <c r="S84" s="2">
        <f t="shared" si="39"/>
        <v>2560</v>
      </c>
      <c r="T84" s="2">
        <f t="shared" si="40"/>
        <v>20480</v>
      </c>
      <c r="U84" s="2">
        <f t="shared" si="41"/>
        <v>5.6888888888888891</v>
      </c>
      <c r="V84">
        <v>1280</v>
      </c>
      <c r="W84">
        <v>1280</v>
      </c>
      <c r="X84" s="2">
        <f t="shared" si="42"/>
        <v>2560</v>
      </c>
      <c r="Y84" s="2">
        <f t="shared" si="43"/>
        <v>20480</v>
      </c>
      <c r="Z84" s="2">
        <f t="shared" si="44"/>
        <v>5.6888888888888891</v>
      </c>
      <c r="AA84">
        <v>1040</v>
      </c>
      <c r="AB84">
        <v>1040</v>
      </c>
      <c r="AC84" s="2">
        <f t="shared" si="45"/>
        <v>2080</v>
      </c>
      <c r="AD84" s="2">
        <f t="shared" si="46"/>
        <v>16640</v>
      </c>
      <c r="AE84" s="2">
        <f t="shared" si="47"/>
        <v>4.6222222222222218</v>
      </c>
      <c r="AF84">
        <v>1280</v>
      </c>
      <c r="AG84">
        <v>1280</v>
      </c>
      <c r="AH84" s="2">
        <f t="shared" si="48"/>
        <v>2560</v>
      </c>
      <c r="AI84" s="2">
        <f t="shared" si="49"/>
        <v>20480</v>
      </c>
      <c r="AJ84" s="2">
        <f t="shared" si="50"/>
        <v>5.6888888888888891</v>
      </c>
      <c r="AK84">
        <v>1040</v>
      </c>
      <c r="AL84">
        <v>1040</v>
      </c>
      <c r="AM84" s="2">
        <f t="shared" si="51"/>
        <v>2080</v>
      </c>
      <c r="AN84" s="2">
        <f t="shared" si="52"/>
        <v>16640</v>
      </c>
      <c r="AO84" s="2">
        <f t="shared" si="53"/>
        <v>4.6222222222222218</v>
      </c>
      <c r="AP84">
        <v>1120</v>
      </c>
      <c r="AQ84">
        <v>1120</v>
      </c>
      <c r="AR84" s="2">
        <f t="shared" si="54"/>
        <v>2240</v>
      </c>
      <c r="AS84" s="2">
        <f t="shared" si="55"/>
        <v>17920</v>
      </c>
      <c r="AT84" s="2">
        <f t="shared" si="56"/>
        <v>4.9777777777777779</v>
      </c>
      <c r="AU84">
        <v>1200</v>
      </c>
      <c r="AV84">
        <v>1200</v>
      </c>
      <c r="AW84" s="2">
        <f t="shared" si="57"/>
        <v>2400</v>
      </c>
      <c r="AX84" s="2">
        <f t="shared" si="58"/>
        <v>19200</v>
      </c>
      <c r="AY84" s="2">
        <f t="shared" si="59"/>
        <v>5.333333333333333</v>
      </c>
    </row>
    <row r="85" spans="1:51" x14ac:dyDescent="0.3">
      <c r="A85" s="2" t="s">
        <v>89</v>
      </c>
      <c r="B85" s="2">
        <v>1200</v>
      </c>
      <c r="C85" s="2">
        <v>1200</v>
      </c>
      <c r="D85" s="2">
        <f t="shared" si="30"/>
        <v>2400</v>
      </c>
      <c r="E85" s="2">
        <f t="shared" si="31"/>
        <v>19200</v>
      </c>
      <c r="F85" s="2">
        <f t="shared" si="32"/>
        <v>5.333333333333333</v>
      </c>
      <c r="G85">
        <v>1040</v>
      </c>
      <c r="H85">
        <v>1040</v>
      </c>
      <c r="I85" s="2">
        <f t="shared" si="33"/>
        <v>2080</v>
      </c>
      <c r="J85" s="2">
        <f t="shared" si="34"/>
        <v>16640</v>
      </c>
      <c r="K85" s="2">
        <f t="shared" si="35"/>
        <v>4.6222222222222218</v>
      </c>
      <c r="L85">
        <v>1120</v>
      </c>
      <c r="M85">
        <v>1120</v>
      </c>
      <c r="N85" s="2">
        <f t="shared" si="36"/>
        <v>2240</v>
      </c>
      <c r="O85" s="2">
        <f t="shared" si="37"/>
        <v>17920</v>
      </c>
      <c r="P85" s="2">
        <f t="shared" si="38"/>
        <v>4.9777777777777779</v>
      </c>
      <c r="Q85">
        <v>1120</v>
      </c>
      <c r="R85">
        <v>1120</v>
      </c>
      <c r="S85" s="2">
        <f t="shared" si="39"/>
        <v>2240</v>
      </c>
      <c r="T85" s="2">
        <f t="shared" si="40"/>
        <v>17920</v>
      </c>
      <c r="U85" s="2">
        <f t="shared" si="41"/>
        <v>4.9777777777777779</v>
      </c>
      <c r="V85">
        <v>1120</v>
      </c>
      <c r="W85">
        <v>1120</v>
      </c>
      <c r="X85" s="2">
        <f t="shared" si="42"/>
        <v>2240</v>
      </c>
      <c r="Y85" s="2">
        <f t="shared" si="43"/>
        <v>17920</v>
      </c>
      <c r="Z85" s="2">
        <f t="shared" si="44"/>
        <v>4.9777777777777779</v>
      </c>
      <c r="AA85">
        <v>1120</v>
      </c>
      <c r="AB85">
        <v>1120</v>
      </c>
      <c r="AC85" s="2">
        <f t="shared" si="45"/>
        <v>2240</v>
      </c>
      <c r="AD85" s="2">
        <f t="shared" si="46"/>
        <v>17920</v>
      </c>
      <c r="AE85" s="2">
        <f t="shared" si="47"/>
        <v>4.9777777777777779</v>
      </c>
      <c r="AF85">
        <v>1040</v>
      </c>
      <c r="AG85">
        <v>1040</v>
      </c>
      <c r="AH85" s="2">
        <f t="shared" si="48"/>
        <v>2080</v>
      </c>
      <c r="AI85" s="2">
        <f t="shared" si="49"/>
        <v>16640</v>
      </c>
      <c r="AJ85" s="2">
        <f t="shared" si="50"/>
        <v>4.6222222222222218</v>
      </c>
      <c r="AK85">
        <v>1120</v>
      </c>
      <c r="AL85">
        <v>1120</v>
      </c>
      <c r="AM85" s="2">
        <f t="shared" si="51"/>
        <v>2240</v>
      </c>
      <c r="AN85" s="2">
        <f t="shared" si="52"/>
        <v>17920</v>
      </c>
      <c r="AO85" s="2">
        <f t="shared" si="53"/>
        <v>4.9777777777777779</v>
      </c>
      <c r="AP85">
        <v>1200</v>
      </c>
      <c r="AQ85">
        <v>1200</v>
      </c>
      <c r="AR85" s="2">
        <f t="shared" si="54"/>
        <v>2400</v>
      </c>
      <c r="AS85" s="2">
        <f t="shared" si="55"/>
        <v>19200</v>
      </c>
      <c r="AT85" s="2">
        <f t="shared" si="56"/>
        <v>5.333333333333333</v>
      </c>
      <c r="AU85">
        <v>1040</v>
      </c>
      <c r="AV85">
        <v>1040</v>
      </c>
      <c r="AW85" s="2">
        <f t="shared" si="57"/>
        <v>2080</v>
      </c>
      <c r="AX85" s="2">
        <f t="shared" si="58"/>
        <v>16640</v>
      </c>
      <c r="AY85" s="2">
        <f t="shared" si="59"/>
        <v>4.6222222222222218</v>
      </c>
    </row>
    <row r="86" spans="1:51" x14ac:dyDescent="0.3">
      <c r="A86" s="2" t="s">
        <v>90</v>
      </c>
      <c r="B86" s="2">
        <v>1120</v>
      </c>
      <c r="C86" s="2">
        <v>1120</v>
      </c>
      <c r="D86" s="2">
        <f t="shared" si="30"/>
        <v>2240</v>
      </c>
      <c r="E86" s="2">
        <f t="shared" si="31"/>
        <v>17920</v>
      </c>
      <c r="F86" s="2">
        <f t="shared" si="32"/>
        <v>4.9777777777777779</v>
      </c>
      <c r="G86">
        <v>1200</v>
      </c>
      <c r="H86">
        <v>1200</v>
      </c>
      <c r="I86" s="2">
        <f t="shared" si="33"/>
        <v>2400</v>
      </c>
      <c r="J86" s="2">
        <f t="shared" si="34"/>
        <v>19200</v>
      </c>
      <c r="K86" s="2">
        <f t="shared" si="35"/>
        <v>5.333333333333333</v>
      </c>
      <c r="L86">
        <v>1120</v>
      </c>
      <c r="M86">
        <v>1120</v>
      </c>
      <c r="N86" s="2">
        <f t="shared" si="36"/>
        <v>2240</v>
      </c>
      <c r="O86" s="2">
        <f t="shared" si="37"/>
        <v>17920</v>
      </c>
      <c r="P86" s="2">
        <f t="shared" si="38"/>
        <v>4.9777777777777779</v>
      </c>
      <c r="Q86">
        <v>1200</v>
      </c>
      <c r="R86">
        <v>1200</v>
      </c>
      <c r="S86" s="2">
        <f t="shared" si="39"/>
        <v>2400</v>
      </c>
      <c r="T86" s="2">
        <f t="shared" si="40"/>
        <v>19200</v>
      </c>
      <c r="U86" s="2">
        <f t="shared" si="41"/>
        <v>5.333333333333333</v>
      </c>
      <c r="V86">
        <v>1200</v>
      </c>
      <c r="W86">
        <v>1200</v>
      </c>
      <c r="X86" s="2">
        <f t="shared" si="42"/>
        <v>2400</v>
      </c>
      <c r="Y86" s="2">
        <f t="shared" si="43"/>
        <v>19200</v>
      </c>
      <c r="Z86" s="2">
        <f t="shared" si="44"/>
        <v>5.333333333333333</v>
      </c>
      <c r="AA86">
        <v>1280</v>
      </c>
      <c r="AB86">
        <v>1280</v>
      </c>
      <c r="AC86" s="2">
        <f t="shared" si="45"/>
        <v>2560</v>
      </c>
      <c r="AD86" s="2">
        <f t="shared" si="46"/>
        <v>20480</v>
      </c>
      <c r="AE86" s="2">
        <f t="shared" si="47"/>
        <v>5.6888888888888891</v>
      </c>
      <c r="AF86">
        <v>1120</v>
      </c>
      <c r="AG86">
        <v>1120</v>
      </c>
      <c r="AH86" s="2">
        <f t="shared" si="48"/>
        <v>2240</v>
      </c>
      <c r="AI86" s="2">
        <f t="shared" si="49"/>
        <v>17920</v>
      </c>
      <c r="AJ86" s="2">
        <f t="shared" si="50"/>
        <v>4.9777777777777779</v>
      </c>
      <c r="AK86">
        <v>1280</v>
      </c>
      <c r="AL86">
        <v>1280</v>
      </c>
      <c r="AM86" s="2">
        <f t="shared" si="51"/>
        <v>2560</v>
      </c>
      <c r="AN86" s="2">
        <f t="shared" si="52"/>
        <v>20480</v>
      </c>
      <c r="AO86" s="2">
        <f t="shared" si="53"/>
        <v>5.6888888888888891</v>
      </c>
      <c r="AP86">
        <v>1120</v>
      </c>
      <c r="AQ86">
        <v>1120</v>
      </c>
      <c r="AR86" s="2">
        <f t="shared" si="54"/>
        <v>2240</v>
      </c>
      <c r="AS86" s="2">
        <f t="shared" si="55"/>
        <v>17920</v>
      </c>
      <c r="AT86" s="2">
        <f t="shared" si="56"/>
        <v>4.9777777777777779</v>
      </c>
      <c r="AU86">
        <v>1040</v>
      </c>
      <c r="AV86">
        <v>1040</v>
      </c>
      <c r="AW86" s="2">
        <f t="shared" si="57"/>
        <v>2080</v>
      </c>
      <c r="AX86" s="2">
        <f t="shared" si="58"/>
        <v>16640</v>
      </c>
      <c r="AY86" s="2">
        <f t="shared" si="59"/>
        <v>4.6222222222222218</v>
      </c>
    </row>
    <row r="87" spans="1:51" x14ac:dyDescent="0.3">
      <c r="A87" s="2" t="s">
        <v>91</v>
      </c>
      <c r="B87" s="2">
        <v>1200</v>
      </c>
      <c r="C87" s="2">
        <v>1200</v>
      </c>
      <c r="D87" s="2">
        <f t="shared" si="30"/>
        <v>2400</v>
      </c>
      <c r="E87" s="2">
        <f t="shared" si="31"/>
        <v>19200</v>
      </c>
      <c r="F87" s="2">
        <f t="shared" si="32"/>
        <v>5.333333333333333</v>
      </c>
      <c r="G87">
        <v>960</v>
      </c>
      <c r="H87">
        <v>960</v>
      </c>
      <c r="I87" s="2">
        <f t="shared" si="33"/>
        <v>1920</v>
      </c>
      <c r="J87" s="2">
        <f t="shared" si="34"/>
        <v>15360</v>
      </c>
      <c r="K87" s="2">
        <f t="shared" si="35"/>
        <v>4.2666666666666666</v>
      </c>
      <c r="L87">
        <v>960</v>
      </c>
      <c r="M87">
        <v>960</v>
      </c>
      <c r="N87" s="2">
        <f t="shared" si="36"/>
        <v>1920</v>
      </c>
      <c r="O87" s="2">
        <f t="shared" si="37"/>
        <v>15360</v>
      </c>
      <c r="P87" s="2">
        <f t="shared" si="38"/>
        <v>4.2666666666666666</v>
      </c>
      <c r="Q87">
        <v>1120</v>
      </c>
      <c r="R87">
        <v>1120</v>
      </c>
      <c r="S87" s="2">
        <f t="shared" si="39"/>
        <v>2240</v>
      </c>
      <c r="T87" s="2">
        <f t="shared" si="40"/>
        <v>17920</v>
      </c>
      <c r="U87" s="2">
        <f t="shared" si="41"/>
        <v>4.9777777777777779</v>
      </c>
      <c r="V87">
        <v>1120</v>
      </c>
      <c r="W87">
        <v>1120</v>
      </c>
      <c r="X87" s="2">
        <f t="shared" si="42"/>
        <v>2240</v>
      </c>
      <c r="Y87" s="2">
        <f t="shared" si="43"/>
        <v>17920</v>
      </c>
      <c r="Z87" s="2">
        <f t="shared" si="44"/>
        <v>4.9777777777777779</v>
      </c>
      <c r="AA87">
        <v>1120</v>
      </c>
      <c r="AB87">
        <v>1120</v>
      </c>
      <c r="AC87" s="2">
        <f t="shared" si="45"/>
        <v>2240</v>
      </c>
      <c r="AD87" s="2">
        <f t="shared" si="46"/>
        <v>17920</v>
      </c>
      <c r="AE87" s="2">
        <f t="shared" si="47"/>
        <v>4.9777777777777779</v>
      </c>
      <c r="AF87">
        <v>960</v>
      </c>
      <c r="AG87">
        <v>960</v>
      </c>
      <c r="AH87" s="2">
        <f t="shared" si="48"/>
        <v>1920</v>
      </c>
      <c r="AI87" s="2">
        <f t="shared" si="49"/>
        <v>15360</v>
      </c>
      <c r="AJ87" s="2">
        <f t="shared" si="50"/>
        <v>4.2666666666666666</v>
      </c>
      <c r="AK87">
        <v>1120</v>
      </c>
      <c r="AL87">
        <v>1120</v>
      </c>
      <c r="AM87" s="2">
        <f t="shared" si="51"/>
        <v>2240</v>
      </c>
      <c r="AN87" s="2">
        <f t="shared" si="52"/>
        <v>17920</v>
      </c>
      <c r="AO87" s="2">
        <f t="shared" si="53"/>
        <v>4.9777777777777779</v>
      </c>
      <c r="AP87">
        <v>1200</v>
      </c>
      <c r="AQ87">
        <v>1200</v>
      </c>
      <c r="AR87" s="2">
        <f t="shared" si="54"/>
        <v>2400</v>
      </c>
      <c r="AS87" s="2">
        <f t="shared" si="55"/>
        <v>19200</v>
      </c>
      <c r="AT87" s="2">
        <f t="shared" si="56"/>
        <v>5.333333333333333</v>
      </c>
      <c r="AU87">
        <v>1040</v>
      </c>
      <c r="AV87">
        <v>1040</v>
      </c>
      <c r="AW87" s="2">
        <f t="shared" si="57"/>
        <v>2080</v>
      </c>
      <c r="AX87" s="2">
        <f t="shared" si="58"/>
        <v>16640</v>
      </c>
      <c r="AY87" s="2">
        <f t="shared" si="59"/>
        <v>4.6222222222222218</v>
      </c>
    </row>
    <row r="88" spans="1:51" x14ac:dyDescent="0.3">
      <c r="A88" s="2" t="s">
        <v>92</v>
      </c>
      <c r="B88" s="2">
        <v>1200</v>
      </c>
      <c r="C88" s="2">
        <v>1200</v>
      </c>
      <c r="D88" s="2">
        <f t="shared" si="30"/>
        <v>2400</v>
      </c>
      <c r="E88" s="2">
        <f t="shared" si="31"/>
        <v>19200</v>
      </c>
      <c r="F88" s="2">
        <f t="shared" si="32"/>
        <v>5.333333333333333</v>
      </c>
      <c r="G88">
        <v>1120</v>
      </c>
      <c r="H88">
        <v>1120</v>
      </c>
      <c r="I88" s="2">
        <f t="shared" si="33"/>
        <v>2240</v>
      </c>
      <c r="J88" s="2">
        <f t="shared" si="34"/>
        <v>17920</v>
      </c>
      <c r="K88" s="2">
        <f t="shared" si="35"/>
        <v>4.9777777777777779</v>
      </c>
      <c r="L88">
        <v>1200</v>
      </c>
      <c r="M88">
        <v>1200</v>
      </c>
      <c r="N88" s="2">
        <f t="shared" si="36"/>
        <v>2400</v>
      </c>
      <c r="O88" s="2">
        <f t="shared" si="37"/>
        <v>19200</v>
      </c>
      <c r="P88" s="2">
        <f t="shared" si="38"/>
        <v>5.333333333333333</v>
      </c>
      <c r="Q88">
        <v>960</v>
      </c>
      <c r="R88">
        <v>960</v>
      </c>
      <c r="S88" s="2">
        <f t="shared" si="39"/>
        <v>1920</v>
      </c>
      <c r="T88" s="2">
        <f t="shared" si="40"/>
        <v>15360</v>
      </c>
      <c r="U88" s="2">
        <f t="shared" si="41"/>
        <v>4.2666666666666666</v>
      </c>
      <c r="V88">
        <v>960</v>
      </c>
      <c r="W88">
        <v>960</v>
      </c>
      <c r="X88" s="2">
        <f t="shared" si="42"/>
        <v>1920</v>
      </c>
      <c r="Y88" s="2">
        <f t="shared" si="43"/>
        <v>15360</v>
      </c>
      <c r="Z88" s="2">
        <f t="shared" si="44"/>
        <v>4.2666666666666666</v>
      </c>
      <c r="AA88">
        <v>960</v>
      </c>
      <c r="AB88">
        <v>960</v>
      </c>
      <c r="AC88" s="2">
        <f t="shared" si="45"/>
        <v>1920</v>
      </c>
      <c r="AD88" s="2">
        <f t="shared" si="46"/>
        <v>15360</v>
      </c>
      <c r="AE88" s="2">
        <f t="shared" si="47"/>
        <v>4.2666666666666666</v>
      </c>
      <c r="AF88">
        <v>1040</v>
      </c>
      <c r="AG88">
        <v>1040</v>
      </c>
      <c r="AH88" s="2">
        <f t="shared" si="48"/>
        <v>2080</v>
      </c>
      <c r="AI88" s="2">
        <f t="shared" si="49"/>
        <v>16640</v>
      </c>
      <c r="AJ88" s="2">
        <f t="shared" si="50"/>
        <v>4.6222222222222218</v>
      </c>
      <c r="AK88">
        <v>1040</v>
      </c>
      <c r="AL88">
        <v>1040</v>
      </c>
      <c r="AM88" s="2">
        <f t="shared" si="51"/>
        <v>2080</v>
      </c>
      <c r="AN88" s="2">
        <f t="shared" si="52"/>
        <v>16640</v>
      </c>
      <c r="AO88" s="2">
        <f t="shared" si="53"/>
        <v>4.6222222222222218</v>
      </c>
      <c r="AP88">
        <v>1040</v>
      </c>
      <c r="AQ88">
        <v>1040</v>
      </c>
      <c r="AR88" s="2">
        <f t="shared" si="54"/>
        <v>2080</v>
      </c>
      <c r="AS88" s="2">
        <f t="shared" si="55"/>
        <v>16640</v>
      </c>
      <c r="AT88" s="2">
        <f t="shared" si="56"/>
        <v>4.6222222222222218</v>
      </c>
      <c r="AU88">
        <v>1280</v>
      </c>
      <c r="AV88">
        <v>1280</v>
      </c>
      <c r="AW88" s="2">
        <f t="shared" si="57"/>
        <v>2560</v>
      </c>
      <c r="AX88" s="2">
        <f t="shared" si="58"/>
        <v>20480</v>
      </c>
      <c r="AY88" s="2">
        <f t="shared" si="59"/>
        <v>5.6888888888888891</v>
      </c>
    </row>
    <row r="89" spans="1:51" x14ac:dyDescent="0.3">
      <c r="A89" s="2" t="s">
        <v>93</v>
      </c>
      <c r="B89" s="2">
        <v>800</v>
      </c>
      <c r="C89" s="2">
        <v>800</v>
      </c>
      <c r="D89" s="2">
        <f t="shared" si="30"/>
        <v>1600</v>
      </c>
      <c r="E89" s="2">
        <f t="shared" si="31"/>
        <v>12800</v>
      </c>
      <c r="F89" s="2">
        <f t="shared" si="32"/>
        <v>3.5555555555555554</v>
      </c>
      <c r="G89">
        <v>1040</v>
      </c>
      <c r="H89">
        <v>1040</v>
      </c>
      <c r="I89" s="2">
        <f t="shared" si="33"/>
        <v>2080</v>
      </c>
      <c r="J89" s="2">
        <f t="shared" si="34"/>
        <v>16640</v>
      </c>
      <c r="K89" s="2">
        <f t="shared" si="35"/>
        <v>4.6222222222222218</v>
      </c>
      <c r="L89">
        <v>1200</v>
      </c>
      <c r="M89">
        <v>1200</v>
      </c>
      <c r="N89" s="2">
        <f t="shared" si="36"/>
        <v>2400</v>
      </c>
      <c r="O89" s="2">
        <f t="shared" si="37"/>
        <v>19200</v>
      </c>
      <c r="P89" s="2">
        <f t="shared" si="38"/>
        <v>5.333333333333333</v>
      </c>
      <c r="Q89">
        <v>1040</v>
      </c>
      <c r="R89">
        <v>1040</v>
      </c>
      <c r="S89" s="2">
        <f t="shared" si="39"/>
        <v>2080</v>
      </c>
      <c r="T89" s="2">
        <f t="shared" si="40"/>
        <v>16640</v>
      </c>
      <c r="U89" s="2">
        <f t="shared" si="41"/>
        <v>4.6222222222222218</v>
      </c>
      <c r="V89">
        <v>1040</v>
      </c>
      <c r="W89">
        <v>1040</v>
      </c>
      <c r="X89" s="2">
        <f t="shared" si="42"/>
        <v>2080</v>
      </c>
      <c r="Y89" s="2">
        <f t="shared" si="43"/>
        <v>16640</v>
      </c>
      <c r="Z89" s="2">
        <f t="shared" si="44"/>
        <v>4.6222222222222218</v>
      </c>
      <c r="AA89">
        <v>1120</v>
      </c>
      <c r="AB89">
        <v>1120</v>
      </c>
      <c r="AC89" s="2">
        <f t="shared" si="45"/>
        <v>2240</v>
      </c>
      <c r="AD89" s="2">
        <f t="shared" si="46"/>
        <v>17920</v>
      </c>
      <c r="AE89" s="2">
        <f t="shared" si="47"/>
        <v>4.9777777777777779</v>
      </c>
      <c r="AF89">
        <v>720</v>
      </c>
      <c r="AG89">
        <v>720</v>
      </c>
      <c r="AH89" s="2">
        <f t="shared" si="48"/>
        <v>1440</v>
      </c>
      <c r="AI89" s="2">
        <f t="shared" si="49"/>
        <v>11520</v>
      </c>
      <c r="AJ89" s="2">
        <f t="shared" si="50"/>
        <v>3.2</v>
      </c>
      <c r="AK89">
        <v>1120</v>
      </c>
      <c r="AL89">
        <v>1120</v>
      </c>
      <c r="AM89" s="2">
        <f t="shared" si="51"/>
        <v>2240</v>
      </c>
      <c r="AN89" s="2">
        <f t="shared" si="52"/>
        <v>17920</v>
      </c>
      <c r="AO89" s="2">
        <f t="shared" si="53"/>
        <v>4.9777777777777779</v>
      </c>
      <c r="AP89">
        <v>960</v>
      </c>
      <c r="AQ89">
        <v>960</v>
      </c>
      <c r="AR89" s="2">
        <f t="shared" si="54"/>
        <v>1920</v>
      </c>
      <c r="AS89" s="2">
        <f t="shared" si="55"/>
        <v>15360</v>
      </c>
      <c r="AT89" s="2">
        <f t="shared" si="56"/>
        <v>4.2666666666666666</v>
      </c>
      <c r="AU89">
        <v>880</v>
      </c>
      <c r="AV89">
        <v>880</v>
      </c>
      <c r="AW89" s="2">
        <f t="shared" si="57"/>
        <v>1760</v>
      </c>
      <c r="AX89" s="2">
        <f t="shared" si="58"/>
        <v>14080</v>
      </c>
      <c r="AY89" s="2">
        <f t="shared" si="59"/>
        <v>3.911111111111111</v>
      </c>
    </row>
    <row r="90" spans="1:51" x14ac:dyDescent="0.3">
      <c r="A90" s="2" t="s">
        <v>94</v>
      </c>
      <c r="B90" s="2">
        <v>1120</v>
      </c>
      <c r="C90" s="2">
        <v>1120</v>
      </c>
      <c r="D90" s="2">
        <f t="shared" si="30"/>
        <v>2240</v>
      </c>
      <c r="E90" s="2">
        <f t="shared" si="31"/>
        <v>17920</v>
      </c>
      <c r="F90" s="2">
        <f t="shared" si="32"/>
        <v>4.9777777777777779</v>
      </c>
      <c r="G90">
        <v>1120</v>
      </c>
      <c r="H90">
        <v>1120</v>
      </c>
      <c r="I90" s="2">
        <f t="shared" si="33"/>
        <v>2240</v>
      </c>
      <c r="J90" s="2">
        <f t="shared" si="34"/>
        <v>17920</v>
      </c>
      <c r="K90" s="2">
        <f t="shared" si="35"/>
        <v>4.9777777777777779</v>
      </c>
      <c r="L90">
        <v>960</v>
      </c>
      <c r="M90">
        <v>960</v>
      </c>
      <c r="N90" s="2">
        <f t="shared" si="36"/>
        <v>1920</v>
      </c>
      <c r="O90" s="2">
        <f t="shared" si="37"/>
        <v>15360</v>
      </c>
      <c r="P90" s="2">
        <f t="shared" si="38"/>
        <v>4.2666666666666666</v>
      </c>
      <c r="Q90">
        <v>1200</v>
      </c>
      <c r="R90">
        <v>1200</v>
      </c>
      <c r="S90" s="2">
        <f t="shared" si="39"/>
        <v>2400</v>
      </c>
      <c r="T90" s="2">
        <f t="shared" si="40"/>
        <v>19200</v>
      </c>
      <c r="U90" s="2">
        <f t="shared" si="41"/>
        <v>5.333333333333333</v>
      </c>
      <c r="V90">
        <v>1200</v>
      </c>
      <c r="W90">
        <v>1200</v>
      </c>
      <c r="X90" s="2">
        <f t="shared" si="42"/>
        <v>2400</v>
      </c>
      <c r="Y90" s="2">
        <f t="shared" si="43"/>
        <v>19200</v>
      </c>
      <c r="Z90" s="2">
        <f t="shared" si="44"/>
        <v>5.333333333333333</v>
      </c>
      <c r="AA90">
        <v>880</v>
      </c>
      <c r="AB90">
        <v>880</v>
      </c>
      <c r="AC90" s="2">
        <f t="shared" si="45"/>
        <v>1760</v>
      </c>
      <c r="AD90" s="2">
        <f t="shared" si="46"/>
        <v>14080</v>
      </c>
      <c r="AE90" s="2">
        <f t="shared" si="47"/>
        <v>3.911111111111111</v>
      </c>
      <c r="AF90">
        <v>1040</v>
      </c>
      <c r="AG90">
        <v>1040</v>
      </c>
      <c r="AH90" s="2">
        <f t="shared" si="48"/>
        <v>2080</v>
      </c>
      <c r="AI90" s="2">
        <f t="shared" si="49"/>
        <v>16640</v>
      </c>
      <c r="AJ90" s="2">
        <f t="shared" si="50"/>
        <v>4.6222222222222218</v>
      </c>
      <c r="AK90">
        <v>1200</v>
      </c>
      <c r="AL90">
        <v>1200</v>
      </c>
      <c r="AM90" s="2">
        <f t="shared" si="51"/>
        <v>2400</v>
      </c>
      <c r="AN90" s="2">
        <f t="shared" si="52"/>
        <v>19200</v>
      </c>
      <c r="AO90" s="2">
        <f t="shared" si="53"/>
        <v>5.333333333333333</v>
      </c>
      <c r="AP90">
        <v>1200</v>
      </c>
      <c r="AQ90">
        <v>1200</v>
      </c>
      <c r="AR90" s="2">
        <f t="shared" si="54"/>
        <v>2400</v>
      </c>
      <c r="AS90" s="2">
        <f t="shared" si="55"/>
        <v>19200</v>
      </c>
      <c r="AT90" s="2">
        <f t="shared" si="56"/>
        <v>5.333333333333333</v>
      </c>
      <c r="AU90">
        <v>1040</v>
      </c>
      <c r="AV90">
        <v>1040</v>
      </c>
      <c r="AW90" s="2">
        <f t="shared" si="57"/>
        <v>2080</v>
      </c>
      <c r="AX90" s="2">
        <f t="shared" si="58"/>
        <v>16640</v>
      </c>
      <c r="AY90" s="2">
        <f t="shared" si="59"/>
        <v>4.6222222222222218</v>
      </c>
    </row>
    <row r="91" spans="1:51" x14ac:dyDescent="0.3">
      <c r="A91" s="2" t="s">
        <v>95</v>
      </c>
      <c r="B91" s="2">
        <v>1120</v>
      </c>
      <c r="C91" s="2">
        <v>1120</v>
      </c>
      <c r="D91" s="2">
        <f t="shared" si="30"/>
        <v>2240</v>
      </c>
      <c r="E91" s="2">
        <f t="shared" si="31"/>
        <v>17920</v>
      </c>
      <c r="F91" s="2">
        <f t="shared" si="32"/>
        <v>4.9777777777777779</v>
      </c>
      <c r="G91">
        <v>1200</v>
      </c>
      <c r="H91">
        <v>1200</v>
      </c>
      <c r="I91" s="2">
        <f t="shared" si="33"/>
        <v>2400</v>
      </c>
      <c r="J91" s="2">
        <f t="shared" si="34"/>
        <v>19200</v>
      </c>
      <c r="K91" s="2">
        <f t="shared" si="35"/>
        <v>5.333333333333333</v>
      </c>
      <c r="L91">
        <v>1120</v>
      </c>
      <c r="M91">
        <v>1120</v>
      </c>
      <c r="N91" s="2">
        <f t="shared" si="36"/>
        <v>2240</v>
      </c>
      <c r="O91" s="2">
        <f t="shared" si="37"/>
        <v>17920</v>
      </c>
      <c r="P91" s="2">
        <f t="shared" si="38"/>
        <v>4.9777777777777779</v>
      </c>
      <c r="Q91">
        <v>1120</v>
      </c>
      <c r="R91">
        <v>1120</v>
      </c>
      <c r="S91" s="2">
        <f t="shared" si="39"/>
        <v>2240</v>
      </c>
      <c r="T91" s="2">
        <f t="shared" si="40"/>
        <v>17920</v>
      </c>
      <c r="U91" s="2">
        <f t="shared" si="41"/>
        <v>4.9777777777777779</v>
      </c>
      <c r="V91">
        <v>1120</v>
      </c>
      <c r="W91">
        <v>1120</v>
      </c>
      <c r="X91" s="2">
        <f t="shared" si="42"/>
        <v>2240</v>
      </c>
      <c r="Y91" s="2">
        <f t="shared" si="43"/>
        <v>17920</v>
      </c>
      <c r="Z91" s="2">
        <f t="shared" si="44"/>
        <v>4.9777777777777779</v>
      </c>
      <c r="AA91">
        <v>960</v>
      </c>
      <c r="AB91">
        <v>960</v>
      </c>
      <c r="AC91" s="2">
        <f t="shared" si="45"/>
        <v>1920</v>
      </c>
      <c r="AD91" s="2">
        <f t="shared" si="46"/>
        <v>15360</v>
      </c>
      <c r="AE91" s="2">
        <f t="shared" si="47"/>
        <v>4.2666666666666666</v>
      </c>
      <c r="AF91">
        <v>1120</v>
      </c>
      <c r="AG91">
        <v>1120</v>
      </c>
      <c r="AH91" s="2">
        <f t="shared" si="48"/>
        <v>2240</v>
      </c>
      <c r="AI91" s="2">
        <f t="shared" si="49"/>
        <v>17920</v>
      </c>
      <c r="AJ91" s="2">
        <f t="shared" si="50"/>
        <v>4.9777777777777779</v>
      </c>
      <c r="AK91">
        <v>1120</v>
      </c>
      <c r="AL91">
        <v>1120</v>
      </c>
      <c r="AM91" s="2">
        <f t="shared" si="51"/>
        <v>2240</v>
      </c>
      <c r="AN91" s="2">
        <f t="shared" si="52"/>
        <v>17920</v>
      </c>
      <c r="AO91" s="2">
        <f t="shared" si="53"/>
        <v>4.9777777777777779</v>
      </c>
      <c r="AP91">
        <v>960</v>
      </c>
      <c r="AQ91">
        <v>960</v>
      </c>
      <c r="AR91" s="2">
        <f t="shared" si="54"/>
        <v>1920</v>
      </c>
      <c r="AS91" s="2">
        <f t="shared" si="55"/>
        <v>15360</v>
      </c>
      <c r="AT91" s="2">
        <f t="shared" si="56"/>
        <v>4.2666666666666666</v>
      </c>
      <c r="AU91">
        <v>880</v>
      </c>
      <c r="AV91">
        <v>880</v>
      </c>
      <c r="AW91" s="2">
        <f t="shared" si="57"/>
        <v>1760</v>
      </c>
      <c r="AX91" s="2">
        <f t="shared" si="58"/>
        <v>14080</v>
      </c>
      <c r="AY91" s="2">
        <f t="shared" si="59"/>
        <v>3.911111111111111</v>
      </c>
    </row>
    <row r="92" spans="1:51" x14ac:dyDescent="0.3">
      <c r="A92" s="2" t="s">
        <v>96</v>
      </c>
      <c r="B92" s="2">
        <v>1120</v>
      </c>
      <c r="C92" s="2">
        <v>1120</v>
      </c>
      <c r="D92" s="2">
        <f t="shared" si="30"/>
        <v>2240</v>
      </c>
      <c r="E92" s="2">
        <f t="shared" si="31"/>
        <v>17920</v>
      </c>
      <c r="F92" s="2">
        <f t="shared" si="32"/>
        <v>4.9777777777777779</v>
      </c>
      <c r="G92">
        <v>1040</v>
      </c>
      <c r="H92">
        <v>1040</v>
      </c>
      <c r="I92" s="2">
        <f t="shared" si="33"/>
        <v>2080</v>
      </c>
      <c r="J92" s="2">
        <f t="shared" si="34"/>
        <v>16640</v>
      </c>
      <c r="K92" s="2">
        <f t="shared" si="35"/>
        <v>4.6222222222222218</v>
      </c>
      <c r="L92">
        <v>1120</v>
      </c>
      <c r="M92">
        <v>1120</v>
      </c>
      <c r="N92" s="2">
        <f t="shared" si="36"/>
        <v>2240</v>
      </c>
      <c r="O92" s="2">
        <f t="shared" si="37"/>
        <v>17920</v>
      </c>
      <c r="P92" s="2">
        <f t="shared" si="38"/>
        <v>4.9777777777777779</v>
      </c>
      <c r="Q92">
        <v>800</v>
      </c>
      <c r="R92">
        <v>800</v>
      </c>
      <c r="S92" s="2">
        <f t="shared" si="39"/>
        <v>1600</v>
      </c>
      <c r="T92" s="2">
        <f t="shared" si="40"/>
        <v>12800</v>
      </c>
      <c r="U92" s="2">
        <f t="shared" si="41"/>
        <v>3.5555555555555554</v>
      </c>
      <c r="V92">
        <v>800</v>
      </c>
      <c r="W92">
        <v>800</v>
      </c>
      <c r="X92" s="2">
        <f t="shared" si="42"/>
        <v>1600</v>
      </c>
      <c r="Y92" s="2">
        <f t="shared" si="43"/>
        <v>12800</v>
      </c>
      <c r="Z92" s="2">
        <f t="shared" si="44"/>
        <v>3.5555555555555554</v>
      </c>
      <c r="AA92">
        <v>1120</v>
      </c>
      <c r="AB92">
        <v>1120</v>
      </c>
      <c r="AC92" s="2">
        <f t="shared" si="45"/>
        <v>2240</v>
      </c>
      <c r="AD92" s="2">
        <f t="shared" si="46"/>
        <v>17920</v>
      </c>
      <c r="AE92" s="2">
        <f t="shared" si="47"/>
        <v>4.9777777777777779</v>
      </c>
      <c r="AF92">
        <v>1040</v>
      </c>
      <c r="AG92">
        <v>1040</v>
      </c>
      <c r="AH92" s="2">
        <f t="shared" si="48"/>
        <v>2080</v>
      </c>
      <c r="AI92" s="2">
        <f t="shared" si="49"/>
        <v>16640</v>
      </c>
      <c r="AJ92" s="2">
        <f t="shared" si="50"/>
        <v>4.6222222222222218</v>
      </c>
      <c r="AK92">
        <v>1120</v>
      </c>
      <c r="AL92">
        <v>1120</v>
      </c>
      <c r="AM92" s="2">
        <f t="shared" si="51"/>
        <v>2240</v>
      </c>
      <c r="AN92" s="2">
        <f t="shared" si="52"/>
        <v>17920</v>
      </c>
      <c r="AO92" s="2">
        <f t="shared" si="53"/>
        <v>4.9777777777777779</v>
      </c>
      <c r="AP92">
        <v>1120</v>
      </c>
      <c r="AQ92">
        <v>1120</v>
      </c>
      <c r="AR92" s="2">
        <f t="shared" si="54"/>
        <v>2240</v>
      </c>
      <c r="AS92" s="2">
        <f t="shared" si="55"/>
        <v>17920</v>
      </c>
      <c r="AT92" s="2">
        <f t="shared" si="56"/>
        <v>4.9777777777777779</v>
      </c>
      <c r="AU92">
        <v>1040</v>
      </c>
      <c r="AV92">
        <v>1040</v>
      </c>
      <c r="AW92" s="2">
        <f t="shared" si="57"/>
        <v>2080</v>
      </c>
      <c r="AX92" s="2">
        <f t="shared" si="58"/>
        <v>16640</v>
      </c>
      <c r="AY92" s="2">
        <f t="shared" si="59"/>
        <v>4.6222222222222218</v>
      </c>
    </row>
    <row r="93" spans="1:51" x14ac:dyDescent="0.3">
      <c r="A93" s="2" t="s">
        <v>97</v>
      </c>
      <c r="B93" s="2">
        <v>1120</v>
      </c>
      <c r="C93" s="2">
        <v>1120</v>
      </c>
      <c r="D93" s="2">
        <f t="shared" si="30"/>
        <v>2240</v>
      </c>
      <c r="E93" s="2">
        <f t="shared" si="31"/>
        <v>17920</v>
      </c>
      <c r="F93" s="2">
        <f t="shared" si="32"/>
        <v>4.9777777777777779</v>
      </c>
      <c r="G93">
        <v>960</v>
      </c>
      <c r="H93">
        <v>960</v>
      </c>
      <c r="I93" s="2">
        <f t="shared" si="33"/>
        <v>1920</v>
      </c>
      <c r="J93" s="2">
        <f t="shared" si="34"/>
        <v>15360</v>
      </c>
      <c r="K93" s="2">
        <f t="shared" si="35"/>
        <v>4.2666666666666666</v>
      </c>
      <c r="L93">
        <v>960</v>
      </c>
      <c r="M93">
        <v>960</v>
      </c>
      <c r="N93" s="2">
        <f t="shared" si="36"/>
        <v>1920</v>
      </c>
      <c r="O93" s="2">
        <f t="shared" si="37"/>
        <v>15360</v>
      </c>
      <c r="P93" s="2">
        <f t="shared" si="38"/>
        <v>4.2666666666666666</v>
      </c>
      <c r="Q93">
        <v>1280</v>
      </c>
      <c r="R93">
        <v>1280</v>
      </c>
      <c r="S93" s="2">
        <f t="shared" si="39"/>
        <v>2560</v>
      </c>
      <c r="T93" s="2">
        <f t="shared" si="40"/>
        <v>20480</v>
      </c>
      <c r="U93" s="2">
        <f t="shared" si="41"/>
        <v>5.6888888888888891</v>
      </c>
      <c r="V93">
        <v>1280</v>
      </c>
      <c r="W93">
        <v>1280</v>
      </c>
      <c r="X93" s="2">
        <f t="shared" si="42"/>
        <v>2560</v>
      </c>
      <c r="Y93" s="2">
        <f t="shared" si="43"/>
        <v>20480</v>
      </c>
      <c r="Z93" s="2">
        <f t="shared" si="44"/>
        <v>5.6888888888888891</v>
      </c>
      <c r="AA93">
        <v>1200</v>
      </c>
      <c r="AB93">
        <v>1200</v>
      </c>
      <c r="AC93" s="2">
        <f t="shared" si="45"/>
        <v>2400</v>
      </c>
      <c r="AD93" s="2">
        <f t="shared" si="46"/>
        <v>19200</v>
      </c>
      <c r="AE93" s="2">
        <f t="shared" si="47"/>
        <v>5.333333333333333</v>
      </c>
      <c r="AF93">
        <v>960</v>
      </c>
      <c r="AG93">
        <v>960</v>
      </c>
      <c r="AH93" s="2">
        <f t="shared" si="48"/>
        <v>1920</v>
      </c>
      <c r="AI93" s="2">
        <f t="shared" si="49"/>
        <v>15360</v>
      </c>
      <c r="AJ93" s="2">
        <f t="shared" si="50"/>
        <v>4.2666666666666666</v>
      </c>
      <c r="AK93">
        <v>1040</v>
      </c>
      <c r="AL93">
        <v>1040</v>
      </c>
      <c r="AM93" s="2">
        <f t="shared" si="51"/>
        <v>2080</v>
      </c>
      <c r="AN93" s="2">
        <f t="shared" si="52"/>
        <v>16640</v>
      </c>
      <c r="AO93" s="2">
        <f t="shared" si="53"/>
        <v>4.6222222222222218</v>
      </c>
      <c r="AP93">
        <v>960</v>
      </c>
      <c r="AQ93">
        <v>960</v>
      </c>
      <c r="AR93" s="2">
        <f t="shared" si="54"/>
        <v>1920</v>
      </c>
      <c r="AS93" s="2">
        <f t="shared" si="55"/>
        <v>15360</v>
      </c>
      <c r="AT93" s="2">
        <f t="shared" si="56"/>
        <v>4.2666666666666666</v>
      </c>
      <c r="AU93">
        <v>1040</v>
      </c>
      <c r="AV93">
        <v>1040</v>
      </c>
      <c r="AW93" s="2">
        <f t="shared" si="57"/>
        <v>2080</v>
      </c>
      <c r="AX93" s="2">
        <f t="shared" si="58"/>
        <v>16640</v>
      </c>
      <c r="AY93" s="2">
        <f t="shared" si="59"/>
        <v>4.6222222222222218</v>
      </c>
    </row>
    <row r="94" spans="1:51" x14ac:dyDescent="0.3">
      <c r="A94" s="2" t="s">
        <v>98</v>
      </c>
      <c r="B94" s="2">
        <v>1280</v>
      </c>
      <c r="C94" s="2">
        <v>1280</v>
      </c>
      <c r="D94" s="2">
        <f t="shared" si="30"/>
        <v>2560</v>
      </c>
      <c r="E94" s="2">
        <f t="shared" si="31"/>
        <v>20480</v>
      </c>
      <c r="F94" s="2">
        <f t="shared" si="32"/>
        <v>5.6888888888888891</v>
      </c>
      <c r="G94">
        <v>1040</v>
      </c>
      <c r="H94">
        <v>1040</v>
      </c>
      <c r="I94" s="2">
        <f t="shared" si="33"/>
        <v>2080</v>
      </c>
      <c r="J94" s="2">
        <f t="shared" si="34"/>
        <v>16640</v>
      </c>
      <c r="K94" s="2">
        <f t="shared" si="35"/>
        <v>4.6222222222222218</v>
      </c>
      <c r="L94">
        <v>1200</v>
      </c>
      <c r="M94">
        <v>1200</v>
      </c>
      <c r="N94" s="2">
        <f t="shared" si="36"/>
        <v>2400</v>
      </c>
      <c r="O94" s="2">
        <f t="shared" si="37"/>
        <v>19200</v>
      </c>
      <c r="P94" s="2">
        <f t="shared" si="38"/>
        <v>5.333333333333333</v>
      </c>
      <c r="Q94">
        <v>1280</v>
      </c>
      <c r="R94">
        <v>1280</v>
      </c>
      <c r="S94" s="2">
        <f t="shared" si="39"/>
        <v>2560</v>
      </c>
      <c r="T94" s="2">
        <f t="shared" si="40"/>
        <v>20480</v>
      </c>
      <c r="U94" s="2">
        <f t="shared" si="41"/>
        <v>5.6888888888888891</v>
      </c>
      <c r="V94">
        <v>1280</v>
      </c>
      <c r="W94">
        <v>1280</v>
      </c>
      <c r="X94" s="2">
        <f t="shared" si="42"/>
        <v>2560</v>
      </c>
      <c r="Y94" s="2">
        <f t="shared" si="43"/>
        <v>20480</v>
      </c>
      <c r="Z94" s="2">
        <f t="shared" si="44"/>
        <v>5.6888888888888891</v>
      </c>
      <c r="AA94">
        <v>1200</v>
      </c>
      <c r="AB94">
        <v>1200</v>
      </c>
      <c r="AC94" s="2">
        <f t="shared" si="45"/>
        <v>2400</v>
      </c>
      <c r="AD94" s="2">
        <f t="shared" si="46"/>
        <v>19200</v>
      </c>
      <c r="AE94" s="2">
        <f t="shared" si="47"/>
        <v>5.333333333333333</v>
      </c>
      <c r="AF94">
        <v>1040</v>
      </c>
      <c r="AG94">
        <v>1040</v>
      </c>
      <c r="AH94" s="2">
        <f t="shared" si="48"/>
        <v>2080</v>
      </c>
      <c r="AI94" s="2">
        <f t="shared" si="49"/>
        <v>16640</v>
      </c>
      <c r="AJ94" s="2">
        <f t="shared" si="50"/>
        <v>4.6222222222222218</v>
      </c>
      <c r="AK94">
        <v>1040</v>
      </c>
      <c r="AL94">
        <v>1040</v>
      </c>
      <c r="AM94" s="2">
        <f t="shared" si="51"/>
        <v>2080</v>
      </c>
      <c r="AN94" s="2">
        <f t="shared" si="52"/>
        <v>16640</v>
      </c>
      <c r="AO94" s="2">
        <f t="shared" si="53"/>
        <v>4.6222222222222218</v>
      </c>
      <c r="AP94">
        <v>1120</v>
      </c>
      <c r="AQ94">
        <v>1120</v>
      </c>
      <c r="AR94" s="2">
        <f t="shared" si="54"/>
        <v>2240</v>
      </c>
      <c r="AS94" s="2">
        <f t="shared" si="55"/>
        <v>17920</v>
      </c>
      <c r="AT94" s="2">
        <f t="shared" si="56"/>
        <v>4.9777777777777779</v>
      </c>
      <c r="AU94">
        <v>1200</v>
      </c>
      <c r="AV94">
        <v>1200</v>
      </c>
      <c r="AW94" s="2">
        <f t="shared" si="57"/>
        <v>2400</v>
      </c>
      <c r="AX94" s="2">
        <f t="shared" si="58"/>
        <v>19200</v>
      </c>
      <c r="AY94" s="2">
        <f t="shared" si="59"/>
        <v>5.333333333333333</v>
      </c>
    </row>
    <row r="95" spans="1:51" x14ac:dyDescent="0.3">
      <c r="A95" s="2" t="s">
        <v>99</v>
      </c>
      <c r="B95" s="2">
        <v>1360</v>
      </c>
      <c r="C95" s="2">
        <v>1360</v>
      </c>
      <c r="D95" s="2">
        <f t="shared" si="30"/>
        <v>2720</v>
      </c>
      <c r="E95" s="2">
        <f t="shared" si="31"/>
        <v>21760</v>
      </c>
      <c r="F95" s="2">
        <f t="shared" si="32"/>
        <v>6.0444444444444443</v>
      </c>
      <c r="G95">
        <v>1040</v>
      </c>
      <c r="H95">
        <v>1040</v>
      </c>
      <c r="I95" s="2">
        <f t="shared" si="33"/>
        <v>2080</v>
      </c>
      <c r="J95" s="2">
        <f t="shared" si="34"/>
        <v>16640</v>
      </c>
      <c r="K95" s="2">
        <f t="shared" si="35"/>
        <v>4.6222222222222218</v>
      </c>
      <c r="L95">
        <v>1040</v>
      </c>
      <c r="M95">
        <v>1040</v>
      </c>
      <c r="N95" s="2">
        <f t="shared" si="36"/>
        <v>2080</v>
      </c>
      <c r="O95" s="2">
        <f t="shared" si="37"/>
        <v>16640</v>
      </c>
      <c r="P95" s="2">
        <f t="shared" si="38"/>
        <v>4.6222222222222218</v>
      </c>
      <c r="Q95">
        <v>1200</v>
      </c>
      <c r="R95">
        <v>1200</v>
      </c>
      <c r="S95" s="2">
        <f t="shared" si="39"/>
        <v>2400</v>
      </c>
      <c r="T95" s="2">
        <f t="shared" si="40"/>
        <v>19200</v>
      </c>
      <c r="U95" s="2">
        <f t="shared" si="41"/>
        <v>5.333333333333333</v>
      </c>
      <c r="V95">
        <v>1200</v>
      </c>
      <c r="W95">
        <v>1200</v>
      </c>
      <c r="X95" s="2">
        <f t="shared" si="42"/>
        <v>2400</v>
      </c>
      <c r="Y95" s="2">
        <f t="shared" si="43"/>
        <v>19200</v>
      </c>
      <c r="Z95" s="2">
        <f t="shared" si="44"/>
        <v>5.333333333333333</v>
      </c>
      <c r="AA95">
        <v>1120</v>
      </c>
      <c r="AB95">
        <v>1120</v>
      </c>
      <c r="AC95" s="2">
        <f t="shared" si="45"/>
        <v>2240</v>
      </c>
      <c r="AD95" s="2">
        <f t="shared" si="46"/>
        <v>17920</v>
      </c>
      <c r="AE95" s="2">
        <f t="shared" si="47"/>
        <v>4.9777777777777779</v>
      </c>
      <c r="AF95">
        <v>1040</v>
      </c>
      <c r="AG95">
        <v>1040</v>
      </c>
      <c r="AH95" s="2">
        <f t="shared" si="48"/>
        <v>2080</v>
      </c>
      <c r="AI95" s="2">
        <f t="shared" si="49"/>
        <v>16640</v>
      </c>
      <c r="AJ95" s="2">
        <f t="shared" si="50"/>
        <v>4.6222222222222218</v>
      </c>
      <c r="AK95">
        <v>1040</v>
      </c>
      <c r="AL95">
        <v>1040</v>
      </c>
      <c r="AM95" s="2">
        <f t="shared" si="51"/>
        <v>2080</v>
      </c>
      <c r="AN95" s="2">
        <f t="shared" si="52"/>
        <v>16640</v>
      </c>
      <c r="AO95" s="2">
        <f t="shared" si="53"/>
        <v>4.6222222222222218</v>
      </c>
      <c r="AP95">
        <v>1040</v>
      </c>
      <c r="AQ95">
        <v>1040</v>
      </c>
      <c r="AR95" s="2">
        <f t="shared" si="54"/>
        <v>2080</v>
      </c>
      <c r="AS95" s="2">
        <f t="shared" si="55"/>
        <v>16640</v>
      </c>
      <c r="AT95" s="2">
        <f t="shared" si="56"/>
        <v>4.6222222222222218</v>
      </c>
      <c r="AU95">
        <v>880</v>
      </c>
      <c r="AV95">
        <v>880</v>
      </c>
      <c r="AW95" s="2">
        <f t="shared" si="57"/>
        <v>1760</v>
      </c>
      <c r="AX95" s="2">
        <f t="shared" si="58"/>
        <v>14080</v>
      </c>
      <c r="AY95" s="2">
        <f t="shared" si="59"/>
        <v>3.911111111111111</v>
      </c>
    </row>
    <row r="96" spans="1:51" x14ac:dyDescent="0.3">
      <c r="A96" s="2" t="s">
        <v>100</v>
      </c>
      <c r="B96" s="2">
        <v>720</v>
      </c>
      <c r="C96" s="2">
        <v>720</v>
      </c>
      <c r="D96" s="2">
        <f t="shared" si="30"/>
        <v>1440</v>
      </c>
      <c r="E96" s="2">
        <f t="shared" si="31"/>
        <v>11520</v>
      </c>
      <c r="F96" s="2">
        <f t="shared" si="32"/>
        <v>3.2</v>
      </c>
      <c r="G96">
        <v>1040</v>
      </c>
      <c r="H96">
        <v>1040</v>
      </c>
      <c r="I96" s="2">
        <f t="shared" si="33"/>
        <v>2080</v>
      </c>
      <c r="J96" s="2">
        <f t="shared" si="34"/>
        <v>16640</v>
      </c>
      <c r="K96" s="2">
        <f t="shared" si="35"/>
        <v>4.6222222222222218</v>
      </c>
      <c r="L96">
        <v>960</v>
      </c>
      <c r="M96">
        <v>960</v>
      </c>
      <c r="N96" s="2">
        <f t="shared" si="36"/>
        <v>1920</v>
      </c>
      <c r="O96" s="2">
        <f t="shared" si="37"/>
        <v>15360</v>
      </c>
      <c r="P96" s="2">
        <f t="shared" si="38"/>
        <v>4.2666666666666666</v>
      </c>
      <c r="Q96">
        <v>960</v>
      </c>
      <c r="R96">
        <v>960</v>
      </c>
      <c r="S96" s="2">
        <f t="shared" si="39"/>
        <v>1920</v>
      </c>
      <c r="T96" s="2">
        <f t="shared" si="40"/>
        <v>15360</v>
      </c>
      <c r="U96" s="2">
        <f t="shared" si="41"/>
        <v>4.2666666666666666</v>
      </c>
      <c r="V96">
        <v>960</v>
      </c>
      <c r="W96">
        <v>960</v>
      </c>
      <c r="X96" s="2">
        <f t="shared" si="42"/>
        <v>1920</v>
      </c>
      <c r="Y96" s="2">
        <f t="shared" si="43"/>
        <v>15360</v>
      </c>
      <c r="Z96" s="2">
        <f t="shared" si="44"/>
        <v>4.2666666666666666</v>
      </c>
      <c r="AA96">
        <v>1200</v>
      </c>
      <c r="AB96">
        <v>1200</v>
      </c>
      <c r="AC96" s="2">
        <f t="shared" si="45"/>
        <v>2400</v>
      </c>
      <c r="AD96" s="2">
        <f t="shared" si="46"/>
        <v>19200</v>
      </c>
      <c r="AE96" s="2">
        <f t="shared" si="47"/>
        <v>5.333333333333333</v>
      </c>
      <c r="AF96">
        <v>1120</v>
      </c>
      <c r="AG96">
        <v>1120</v>
      </c>
      <c r="AH96" s="2">
        <f t="shared" si="48"/>
        <v>2240</v>
      </c>
      <c r="AI96" s="2">
        <f t="shared" si="49"/>
        <v>17920</v>
      </c>
      <c r="AJ96" s="2">
        <f t="shared" si="50"/>
        <v>4.9777777777777779</v>
      </c>
      <c r="AK96">
        <v>1040</v>
      </c>
      <c r="AL96">
        <v>1040</v>
      </c>
      <c r="AM96" s="2">
        <f t="shared" si="51"/>
        <v>2080</v>
      </c>
      <c r="AN96" s="2">
        <f t="shared" si="52"/>
        <v>16640</v>
      </c>
      <c r="AO96" s="2">
        <f t="shared" si="53"/>
        <v>4.6222222222222218</v>
      </c>
      <c r="AP96">
        <v>1200</v>
      </c>
      <c r="AQ96">
        <v>1200</v>
      </c>
      <c r="AR96" s="2">
        <f t="shared" si="54"/>
        <v>2400</v>
      </c>
      <c r="AS96" s="2">
        <f t="shared" si="55"/>
        <v>19200</v>
      </c>
      <c r="AT96" s="2">
        <f t="shared" si="56"/>
        <v>5.333333333333333</v>
      </c>
      <c r="AU96">
        <v>1120</v>
      </c>
      <c r="AV96">
        <v>1120</v>
      </c>
      <c r="AW96" s="2">
        <f t="shared" si="57"/>
        <v>2240</v>
      </c>
      <c r="AX96" s="2">
        <f t="shared" si="58"/>
        <v>17920</v>
      </c>
      <c r="AY96" s="2">
        <f t="shared" si="59"/>
        <v>4.9777777777777779</v>
      </c>
    </row>
    <row r="97" spans="1:51" x14ac:dyDescent="0.3">
      <c r="A97" s="2" t="s">
        <v>101</v>
      </c>
      <c r="B97" s="2">
        <v>1120</v>
      </c>
      <c r="C97" s="2">
        <v>1120</v>
      </c>
      <c r="D97" s="2">
        <f t="shared" si="30"/>
        <v>2240</v>
      </c>
      <c r="E97" s="2">
        <f t="shared" si="31"/>
        <v>17920</v>
      </c>
      <c r="F97" s="2">
        <f t="shared" si="32"/>
        <v>4.9777777777777779</v>
      </c>
      <c r="G97">
        <v>960</v>
      </c>
      <c r="H97">
        <v>960</v>
      </c>
      <c r="I97" s="2">
        <f t="shared" si="33"/>
        <v>1920</v>
      </c>
      <c r="J97" s="2">
        <f t="shared" si="34"/>
        <v>15360</v>
      </c>
      <c r="K97" s="2">
        <f t="shared" si="35"/>
        <v>4.2666666666666666</v>
      </c>
      <c r="L97">
        <v>880</v>
      </c>
      <c r="M97">
        <v>880</v>
      </c>
      <c r="N97" s="2">
        <f t="shared" si="36"/>
        <v>1760</v>
      </c>
      <c r="O97" s="2">
        <f t="shared" si="37"/>
        <v>14080</v>
      </c>
      <c r="P97" s="2">
        <f t="shared" si="38"/>
        <v>3.911111111111111</v>
      </c>
      <c r="Q97">
        <v>880</v>
      </c>
      <c r="R97">
        <v>880</v>
      </c>
      <c r="S97" s="2">
        <f t="shared" si="39"/>
        <v>1760</v>
      </c>
      <c r="T97" s="2">
        <f t="shared" si="40"/>
        <v>14080</v>
      </c>
      <c r="U97" s="2">
        <f t="shared" si="41"/>
        <v>3.911111111111111</v>
      </c>
      <c r="V97">
        <v>880</v>
      </c>
      <c r="W97">
        <v>880</v>
      </c>
      <c r="X97" s="2">
        <f t="shared" si="42"/>
        <v>1760</v>
      </c>
      <c r="Y97" s="2">
        <f t="shared" si="43"/>
        <v>14080</v>
      </c>
      <c r="Z97" s="2">
        <f t="shared" si="44"/>
        <v>3.911111111111111</v>
      </c>
      <c r="AA97">
        <v>1040</v>
      </c>
      <c r="AB97">
        <v>1040</v>
      </c>
      <c r="AC97" s="2">
        <f t="shared" si="45"/>
        <v>2080</v>
      </c>
      <c r="AD97" s="2">
        <f t="shared" si="46"/>
        <v>16640</v>
      </c>
      <c r="AE97" s="2">
        <f t="shared" si="47"/>
        <v>4.6222222222222218</v>
      </c>
      <c r="AF97">
        <v>960</v>
      </c>
      <c r="AG97">
        <v>960</v>
      </c>
      <c r="AH97" s="2">
        <f t="shared" si="48"/>
        <v>1920</v>
      </c>
      <c r="AI97" s="2">
        <f t="shared" si="49"/>
        <v>15360</v>
      </c>
      <c r="AJ97" s="2">
        <f t="shared" si="50"/>
        <v>4.2666666666666666</v>
      </c>
      <c r="AK97">
        <v>1040</v>
      </c>
      <c r="AL97">
        <v>1040</v>
      </c>
      <c r="AM97" s="2">
        <f t="shared" si="51"/>
        <v>2080</v>
      </c>
      <c r="AN97" s="2">
        <f t="shared" si="52"/>
        <v>16640</v>
      </c>
      <c r="AO97" s="2">
        <f t="shared" si="53"/>
        <v>4.6222222222222218</v>
      </c>
      <c r="AP97">
        <v>1040</v>
      </c>
      <c r="AQ97">
        <v>1040</v>
      </c>
      <c r="AR97" s="2">
        <f t="shared" si="54"/>
        <v>2080</v>
      </c>
      <c r="AS97" s="2">
        <f t="shared" si="55"/>
        <v>16640</v>
      </c>
      <c r="AT97" s="2">
        <f t="shared" si="56"/>
        <v>4.6222222222222218</v>
      </c>
      <c r="AU97">
        <v>1040</v>
      </c>
      <c r="AV97">
        <v>1040</v>
      </c>
      <c r="AW97" s="2">
        <f t="shared" si="57"/>
        <v>2080</v>
      </c>
      <c r="AX97" s="2">
        <f t="shared" si="58"/>
        <v>16640</v>
      </c>
      <c r="AY97" s="2">
        <f t="shared" si="59"/>
        <v>4.6222222222222218</v>
      </c>
    </row>
    <row r="98" spans="1:51" x14ac:dyDescent="0.3">
      <c r="A98" s="2" t="s">
        <v>102</v>
      </c>
      <c r="B98" s="2">
        <v>1040</v>
      </c>
      <c r="C98" s="2">
        <v>1040</v>
      </c>
      <c r="D98" s="2">
        <f t="shared" si="30"/>
        <v>2080</v>
      </c>
      <c r="E98" s="2">
        <f t="shared" si="31"/>
        <v>16640</v>
      </c>
      <c r="F98" s="2">
        <f t="shared" si="32"/>
        <v>4.6222222222222218</v>
      </c>
      <c r="G98">
        <v>1120</v>
      </c>
      <c r="H98">
        <v>1120</v>
      </c>
      <c r="I98" s="2">
        <f t="shared" si="33"/>
        <v>2240</v>
      </c>
      <c r="J98" s="2">
        <f t="shared" si="34"/>
        <v>17920</v>
      </c>
      <c r="K98" s="2">
        <f t="shared" si="35"/>
        <v>4.9777777777777779</v>
      </c>
      <c r="L98">
        <v>960</v>
      </c>
      <c r="M98">
        <v>960</v>
      </c>
      <c r="N98" s="2">
        <f t="shared" si="36"/>
        <v>1920</v>
      </c>
      <c r="O98" s="2">
        <f t="shared" si="37"/>
        <v>15360</v>
      </c>
      <c r="P98" s="2">
        <f t="shared" si="38"/>
        <v>4.2666666666666666</v>
      </c>
      <c r="Q98">
        <v>960</v>
      </c>
      <c r="R98">
        <v>960</v>
      </c>
      <c r="S98" s="2">
        <f t="shared" si="39"/>
        <v>1920</v>
      </c>
      <c r="T98" s="2">
        <f t="shared" si="40"/>
        <v>15360</v>
      </c>
      <c r="U98" s="2">
        <f t="shared" si="41"/>
        <v>4.2666666666666666</v>
      </c>
      <c r="V98">
        <v>960</v>
      </c>
      <c r="W98">
        <v>960</v>
      </c>
      <c r="X98" s="2">
        <f t="shared" si="42"/>
        <v>1920</v>
      </c>
      <c r="Y98" s="2">
        <f t="shared" si="43"/>
        <v>15360</v>
      </c>
      <c r="Z98" s="2">
        <f t="shared" si="44"/>
        <v>4.2666666666666666</v>
      </c>
      <c r="AA98">
        <v>1040</v>
      </c>
      <c r="AB98">
        <v>1040</v>
      </c>
      <c r="AC98" s="2">
        <f t="shared" si="45"/>
        <v>2080</v>
      </c>
      <c r="AD98" s="2">
        <f t="shared" si="46"/>
        <v>16640</v>
      </c>
      <c r="AE98" s="2">
        <f t="shared" si="47"/>
        <v>4.6222222222222218</v>
      </c>
      <c r="AF98">
        <v>960</v>
      </c>
      <c r="AG98">
        <v>960</v>
      </c>
      <c r="AH98" s="2">
        <f t="shared" si="48"/>
        <v>1920</v>
      </c>
      <c r="AI98" s="2">
        <f t="shared" si="49"/>
        <v>15360</v>
      </c>
      <c r="AJ98" s="2">
        <f t="shared" si="50"/>
        <v>4.2666666666666666</v>
      </c>
      <c r="AK98">
        <v>1200</v>
      </c>
      <c r="AL98">
        <v>1200</v>
      </c>
      <c r="AM98" s="2">
        <f t="shared" si="51"/>
        <v>2400</v>
      </c>
      <c r="AN98" s="2">
        <f t="shared" si="52"/>
        <v>19200</v>
      </c>
      <c r="AO98" s="2">
        <f t="shared" si="53"/>
        <v>5.333333333333333</v>
      </c>
      <c r="AP98">
        <v>880</v>
      </c>
      <c r="AQ98">
        <v>880</v>
      </c>
      <c r="AR98" s="2">
        <f t="shared" si="54"/>
        <v>1760</v>
      </c>
      <c r="AS98" s="2">
        <f t="shared" si="55"/>
        <v>14080</v>
      </c>
      <c r="AT98" s="2">
        <f t="shared" si="56"/>
        <v>3.911111111111111</v>
      </c>
      <c r="AU98">
        <v>1040</v>
      </c>
      <c r="AV98">
        <v>1040</v>
      </c>
      <c r="AW98" s="2">
        <f t="shared" si="57"/>
        <v>2080</v>
      </c>
      <c r="AX98" s="2">
        <f t="shared" si="58"/>
        <v>16640</v>
      </c>
      <c r="AY98" s="2">
        <f t="shared" si="59"/>
        <v>4.6222222222222218</v>
      </c>
    </row>
    <row r="99" spans="1:51" x14ac:dyDescent="0.3">
      <c r="A99" s="2" t="s">
        <v>103</v>
      </c>
      <c r="B99" s="2">
        <v>1040</v>
      </c>
      <c r="C99" s="2">
        <v>1040</v>
      </c>
      <c r="D99" s="2">
        <f t="shared" si="30"/>
        <v>2080</v>
      </c>
      <c r="E99" s="2">
        <f t="shared" si="31"/>
        <v>16640</v>
      </c>
      <c r="F99" s="2">
        <f t="shared" si="32"/>
        <v>4.6222222222222218</v>
      </c>
      <c r="G99">
        <v>1120</v>
      </c>
      <c r="H99">
        <v>1120</v>
      </c>
      <c r="I99" s="2">
        <f t="shared" si="33"/>
        <v>2240</v>
      </c>
      <c r="J99" s="2">
        <f t="shared" si="34"/>
        <v>17920</v>
      </c>
      <c r="K99" s="2">
        <f t="shared" si="35"/>
        <v>4.9777777777777779</v>
      </c>
      <c r="L99">
        <v>880</v>
      </c>
      <c r="M99">
        <v>880</v>
      </c>
      <c r="N99" s="2">
        <f t="shared" si="36"/>
        <v>1760</v>
      </c>
      <c r="O99" s="2">
        <f t="shared" si="37"/>
        <v>14080</v>
      </c>
      <c r="P99" s="2">
        <f t="shared" si="38"/>
        <v>3.911111111111111</v>
      </c>
      <c r="Q99">
        <v>1120</v>
      </c>
      <c r="R99">
        <v>1120</v>
      </c>
      <c r="S99" s="2">
        <f t="shared" si="39"/>
        <v>2240</v>
      </c>
      <c r="T99" s="2">
        <f t="shared" si="40"/>
        <v>17920</v>
      </c>
      <c r="U99" s="2">
        <f t="shared" si="41"/>
        <v>4.9777777777777779</v>
      </c>
      <c r="V99">
        <v>1120</v>
      </c>
      <c r="W99">
        <v>1120</v>
      </c>
      <c r="X99" s="2">
        <f t="shared" si="42"/>
        <v>2240</v>
      </c>
      <c r="Y99" s="2">
        <f t="shared" si="43"/>
        <v>17920</v>
      </c>
      <c r="Z99" s="2">
        <f t="shared" si="44"/>
        <v>4.9777777777777779</v>
      </c>
      <c r="AA99">
        <v>1200</v>
      </c>
      <c r="AB99">
        <v>1200</v>
      </c>
      <c r="AC99" s="2">
        <f t="shared" si="45"/>
        <v>2400</v>
      </c>
      <c r="AD99" s="2">
        <f t="shared" si="46"/>
        <v>19200</v>
      </c>
      <c r="AE99" s="2">
        <f t="shared" si="47"/>
        <v>5.333333333333333</v>
      </c>
      <c r="AF99">
        <v>1200</v>
      </c>
      <c r="AG99">
        <v>1200</v>
      </c>
      <c r="AH99" s="2">
        <f t="shared" si="48"/>
        <v>2400</v>
      </c>
      <c r="AI99" s="2">
        <f t="shared" si="49"/>
        <v>19200</v>
      </c>
      <c r="AJ99" s="2">
        <f t="shared" si="50"/>
        <v>5.333333333333333</v>
      </c>
      <c r="AK99">
        <v>880</v>
      </c>
      <c r="AL99">
        <v>880</v>
      </c>
      <c r="AM99" s="2">
        <f t="shared" si="51"/>
        <v>1760</v>
      </c>
      <c r="AN99" s="2">
        <f t="shared" si="52"/>
        <v>14080</v>
      </c>
      <c r="AO99" s="2">
        <f t="shared" si="53"/>
        <v>3.911111111111111</v>
      </c>
      <c r="AP99">
        <v>800</v>
      </c>
      <c r="AQ99">
        <v>800</v>
      </c>
      <c r="AR99" s="2">
        <f t="shared" si="54"/>
        <v>1600</v>
      </c>
      <c r="AS99" s="2">
        <f t="shared" si="55"/>
        <v>12800</v>
      </c>
      <c r="AT99" s="2">
        <f t="shared" si="56"/>
        <v>3.5555555555555554</v>
      </c>
      <c r="AU99">
        <v>1120</v>
      </c>
      <c r="AV99">
        <v>1120</v>
      </c>
      <c r="AW99" s="2">
        <f t="shared" si="57"/>
        <v>2240</v>
      </c>
      <c r="AX99" s="2">
        <f t="shared" si="58"/>
        <v>17920</v>
      </c>
      <c r="AY99" s="2">
        <f t="shared" si="59"/>
        <v>4.9777777777777779</v>
      </c>
    </row>
    <row r="100" spans="1:51" x14ac:dyDescent="0.3">
      <c r="A100" s="2" t="s">
        <v>104</v>
      </c>
      <c r="B100" s="2">
        <v>1040</v>
      </c>
      <c r="C100" s="2">
        <v>1040</v>
      </c>
      <c r="D100" s="2">
        <f t="shared" si="30"/>
        <v>2080</v>
      </c>
      <c r="E100" s="2">
        <f t="shared" si="31"/>
        <v>16640</v>
      </c>
      <c r="F100" s="2">
        <f t="shared" si="32"/>
        <v>4.6222222222222218</v>
      </c>
      <c r="G100">
        <v>1200</v>
      </c>
      <c r="H100">
        <v>1200</v>
      </c>
      <c r="I100" s="2">
        <f t="shared" si="33"/>
        <v>2400</v>
      </c>
      <c r="J100" s="2">
        <f t="shared" si="34"/>
        <v>19200</v>
      </c>
      <c r="K100" s="2">
        <f t="shared" si="35"/>
        <v>5.333333333333333</v>
      </c>
      <c r="L100">
        <v>1120</v>
      </c>
      <c r="M100">
        <v>1120</v>
      </c>
      <c r="N100" s="2">
        <f t="shared" si="36"/>
        <v>2240</v>
      </c>
      <c r="O100" s="2">
        <f t="shared" si="37"/>
        <v>17920</v>
      </c>
      <c r="P100" s="2">
        <f t="shared" si="38"/>
        <v>4.9777777777777779</v>
      </c>
      <c r="Q100">
        <v>1120</v>
      </c>
      <c r="R100">
        <v>1120</v>
      </c>
      <c r="S100" s="2">
        <f t="shared" si="39"/>
        <v>2240</v>
      </c>
      <c r="T100" s="2">
        <f t="shared" si="40"/>
        <v>17920</v>
      </c>
      <c r="U100" s="2">
        <f t="shared" si="41"/>
        <v>4.9777777777777779</v>
      </c>
      <c r="V100">
        <v>1120</v>
      </c>
      <c r="W100">
        <v>1120</v>
      </c>
      <c r="X100" s="2">
        <f t="shared" si="42"/>
        <v>2240</v>
      </c>
      <c r="Y100" s="2">
        <f t="shared" si="43"/>
        <v>17920</v>
      </c>
      <c r="Z100" s="2">
        <f t="shared" si="44"/>
        <v>4.9777777777777779</v>
      </c>
      <c r="AA100">
        <v>1120</v>
      </c>
      <c r="AB100">
        <v>1120</v>
      </c>
      <c r="AC100" s="2">
        <f t="shared" si="45"/>
        <v>2240</v>
      </c>
      <c r="AD100" s="2">
        <f t="shared" si="46"/>
        <v>17920</v>
      </c>
      <c r="AE100" s="2">
        <f t="shared" si="47"/>
        <v>4.9777777777777779</v>
      </c>
      <c r="AF100">
        <v>1040</v>
      </c>
      <c r="AG100">
        <v>1040</v>
      </c>
      <c r="AH100" s="2">
        <f t="shared" si="48"/>
        <v>2080</v>
      </c>
      <c r="AI100" s="2">
        <f t="shared" si="49"/>
        <v>16640</v>
      </c>
      <c r="AJ100" s="2">
        <f t="shared" si="50"/>
        <v>4.6222222222222218</v>
      </c>
      <c r="AK100">
        <v>1120</v>
      </c>
      <c r="AL100">
        <v>1120</v>
      </c>
      <c r="AM100" s="2">
        <f t="shared" si="51"/>
        <v>2240</v>
      </c>
      <c r="AN100" s="2">
        <f t="shared" si="52"/>
        <v>17920</v>
      </c>
      <c r="AO100" s="2">
        <f t="shared" si="53"/>
        <v>4.9777777777777779</v>
      </c>
      <c r="AP100">
        <v>1040</v>
      </c>
      <c r="AQ100">
        <v>1040</v>
      </c>
      <c r="AR100" s="2">
        <f t="shared" si="54"/>
        <v>2080</v>
      </c>
      <c r="AS100" s="2">
        <f t="shared" si="55"/>
        <v>16640</v>
      </c>
      <c r="AT100" s="2">
        <f t="shared" si="56"/>
        <v>4.6222222222222218</v>
      </c>
      <c r="AU100">
        <v>1120</v>
      </c>
      <c r="AV100">
        <v>1120</v>
      </c>
      <c r="AW100" s="2">
        <f t="shared" si="57"/>
        <v>2240</v>
      </c>
      <c r="AX100" s="2">
        <f t="shared" si="58"/>
        <v>17920</v>
      </c>
      <c r="AY100" s="2">
        <f t="shared" si="59"/>
        <v>4.9777777777777779</v>
      </c>
    </row>
    <row r="101" spans="1:51" x14ac:dyDescent="0.3">
      <c r="A101" s="2" t="s">
        <v>105</v>
      </c>
      <c r="B101" s="2">
        <v>960</v>
      </c>
      <c r="C101" s="2">
        <v>960</v>
      </c>
      <c r="D101" s="2">
        <f t="shared" si="30"/>
        <v>1920</v>
      </c>
      <c r="E101" s="2">
        <f t="shared" si="31"/>
        <v>15360</v>
      </c>
      <c r="F101" s="2">
        <f t="shared" si="32"/>
        <v>4.2666666666666666</v>
      </c>
      <c r="G101">
        <v>1040</v>
      </c>
      <c r="H101">
        <v>1040</v>
      </c>
      <c r="I101" s="2">
        <f t="shared" si="33"/>
        <v>2080</v>
      </c>
      <c r="J101" s="2">
        <f t="shared" si="34"/>
        <v>16640</v>
      </c>
      <c r="K101" s="2">
        <f t="shared" si="35"/>
        <v>4.6222222222222218</v>
      </c>
      <c r="L101">
        <v>1120</v>
      </c>
      <c r="M101">
        <v>1120</v>
      </c>
      <c r="N101" s="2">
        <f t="shared" si="36"/>
        <v>2240</v>
      </c>
      <c r="O101" s="2">
        <f t="shared" si="37"/>
        <v>17920</v>
      </c>
      <c r="P101" s="2">
        <f t="shared" si="38"/>
        <v>4.9777777777777779</v>
      </c>
      <c r="Q101">
        <v>1120</v>
      </c>
      <c r="R101">
        <v>1120</v>
      </c>
      <c r="S101" s="2">
        <f t="shared" si="39"/>
        <v>2240</v>
      </c>
      <c r="T101" s="2">
        <f t="shared" si="40"/>
        <v>17920</v>
      </c>
      <c r="U101" s="2">
        <f t="shared" si="41"/>
        <v>4.9777777777777779</v>
      </c>
      <c r="V101">
        <v>1120</v>
      </c>
      <c r="W101">
        <v>1120</v>
      </c>
      <c r="X101" s="2">
        <f t="shared" si="42"/>
        <v>2240</v>
      </c>
      <c r="Y101" s="2">
        <f t="shared" si="43"/>
        <v>17920</v>
      </c>
      <c r="Z101" s="2">
        <f t="shared" si="44"/>
        <v>4.9777777777777779</v>
      </c>
      <c r="AA101">
        <v>800</v>
      </c>
      <c r="AB101">
        <v>800</v>
      </c>
      <c r="AC101" s="2">
        <f t="shared" si="45"/>
        <v>1600</v>
      </c>
      <c r="AD101" s="2">
        <f t="shared" si="46"/>
        <v>12800</v>
      </c>
      <c r="AE101" s="2">
        <f t="shared" si="47"/>
        <v>3.5555555555555554</v>
      </c>
      <c r="AF101">
        <v>1280</v>
      </c>
      <c r="AG101">
        <v>1280</v>
      </c>
      <c r="AH101" s="2">
        <f t="shared" si="48"/>
        <v>2560</v>
      </c>
      <c r="AI101" s="2">
        <f t="shared" si="49"/>
        <v>20480</v>
      </c>
      <c r="AJ101" s="2">
        <f t="shared" si="50"/>
        <v>5.6888888888888891</v>
      </c>
      <c r="AK101">
        <v>1040</v>
      </c>
      <c r="AL101">
        <v>1040</v>
      </c>
      <c r="AM101" s="2">
        <f t="shared" si="51"/>
        <v>2080</v>
      </c>
      <c r="AN101" s="2">
        <f t="shared" si="52"/>
        <v>16640</v>
      </c>
      <c r="AO101" s="2">
        <f t="shared" si="53"/>
        <v>4.6222222222222218</v>
      </c>
      <c r="AP101">
        <v>1120</v>
      </c>
      <c r="AQ101">
        <v>1120</v>
      </c>
      <c r="AR101" s="2">
        <f t="shared" si="54"/>
        <v>2240</v>
      </c>
      <c r="AS101" s="2">
        <f t="shared" si="55"/>
        <v>17920</v>
      </c>
      <c r="AT101" s="2">
        <f t="shared" si="56"/>
        <v>4.9777777777777779</v>
      </c>
      <c r="AU101">
        <v>880</v>
      </c>
      <c r="AV101">
        <v>880</v>
      </c>
      <c r="AW101" s="2">
        <f t="shared" si="57"/>
        <v>1760</v>
      </c>
      <c r="AX101" s="2">
        <f t="shared" si="58"/>
        <v>14080</v>
      </c>
      <c r="AY101" s="2">
        <f t="shared" si="59"/>
        <v>3.911111111111111</v>
      </c>
    </row>
    <row r="102" spans="1:51" x14ac:dyDescent="0.3">
      <c r="A102" s="2" t="s">
        <v>106</v>
      </c>
      <c r="B102" s="2">
        <v>960</v>
      </c>
      <c r="C102" s="2">
        <v>960</v>
      </c>
      <c r="D102" s="2">
        <f t="shared" si="30"/>
        <v>1920</v>
      </c>
      <c r="E102" s="2">
        <f t="shared" si="31"/>
        <v>15360</v>
      </c>
      <c r="F102" s="2">
        <f t="shared" si="32"/>
        <v>4.2666666666666666</v>
      </c>
      <c r="G102">
        <v>1360</v>
      </c>
      <c r="H102">
        <v>1360</v>
      </c>
      <c r="I102" s="2">
        <f t="shared" si="33"/>
        <v>2720</v>
      </c>
      <c r="J102" s="2">
        <f t="shared" si="34"/>
        <v>21760</v>
      </c>
      <c r="K102" s="2">
        <f t="shared" si="35"/>
        <v>6.0444444444444443</v>
      </c>
      <c r="L102">
        <v>1120</v>
      </c>
      <c r="M102">
        <v>1120</v>
      </c>
      <c r="N102" s="2">
        <f t="shared" si="36"/>
        <v>2240</v>
      </c>
      <c r="O102" s="2">
        <f t="shared" si="37"/>
        <v>17920</v>
      </c>
      <c r="P102" s="2">
        <f t="shared" si="38"/>
        <v>4.9777777777777779</v>
      </c>
      <c r="Q102">
        <v>960</v>
      </c>
      <c r="R102">
        <v>960</v>
      </c>
      <c r="S102" s="2">
        <f t="shared" si="39"/>
        <v>1920</v>
      </c>
      <c r="T102" s="2">
        <f t="shared" si="40"/>
        <v>15360</v>
      </c>
      <c r="U102" s="2">
        <f t="shared" si="41"/>
        <v>4.2666666666666666</v>
      </c>
      <c r="V102">
        <v>960</v>
      </c>
      <c r="W102">
        <v>960</v>
      </c>
      <c r="X102" s="2">
        <f t="shared" si="42"/>
        <v>1920</v>
      </c>
      <c r="Y102" s="2">
        <f t="shared" si="43"/>
        <v>15360</v>
      </c>
      <c r="Z102" s="2">
        <f t="shared" si="44"/>
        <v>4.2666666666666666</v>
      </c>
      <c r="AA102">
        <v>1120</v>
      </c>
      <c r="AB102">
        <v>1120</v>
      </c>
      <c r="AC102" s="2">
        <f t="shared" si="45"/>
        <v>2240</v>
      </c>
      <c r="AD102" s="2">
        <f t="shared" si="46"/>
        <v>17920</v>
      </c>
      <c r="AE102" s="2">
        <f t="shared" si="47"/>
        <v>4.9777777777777779</v>
      </c>
      <c r="AF102">
        <v>1120</v>
      </c>
      <c r="AG102">
        <v>1120</v>
      </c>
      <c r="AH102" s="2">
        <f t="shared" si="48"/>
        <v>2240</v>
      </c>
      <c r="AI102" s="2">
        <f t="shared" si="49"/>
        <v>17920</v>
      </c>
      <c r="AJ102" s="2">
        <f t="shared" si="50"/>
        <v>4.9777777777777779</v>
      </c>
      <c r="AK102">
        <v>1040</v>
      </c>
      <c r="AL102">
        <v>1040</v>
      </c>
      <c r="AM102" s="2">
        <f t="shared" si="51"/>
        <v>2080</v>
      </c>
      <c r="AN102" s="2">
        <f t="shared" si="52"/>
        <v>16640</v>
      </c>
      <c r="AO102" s="2">
        <f t="shared" si="53"/>
        <v>4.6222222222222218</v>
      </c>
      <c r="AP102">
        <v>1040</v>
      </c>
      <c r="AQ102">
        <v>1040</v>
      </c>
      <c r="AR102" s="2">
        <f t="shared" si="54"/>
        <v>2080</v>
      </c>
      <c r="AS102" s="2">
        <f t="shared" si="55"/>
        <v>16640</v>
      </c>
      <c r="AT102" s="2">
        <f t="shared" si="56"/>
        <v>4.6222222222222218</v>
      </c>
      <c r="AU102">
        <v>800</v>
      </c>
      <c r="AV102">
        <v>800</v>
      </c>
      <c r="AW102" s="2">
        <f t="shared" si="57"/>
        <v>1600</v>
      </c>
      <c r="AX102" s="2">
        <f t="shared" si="58"/>
        <v>12800</v>
      </c>
      <c r="AY102" s="2">
        <f t="shared" si="59"/>
        <v>3.5555555555555554</v>
      </c>
    </row>
    <row r="103" spans="1:51" x14ac:dyDescent="0.3">
      <c r="A103" s="2" t="s">
        <v>107</v>
      </c>
      <c r="F103" s="2">
        <f>AVERAGE(F3:F102)</f>
        <v>4.661333333333328</v>
      </c>
      <c r="K103" s="2">
        <f>AVERAGE(K3:K102)</f>
        <v>4.7217777777777723</v>
      </c>
      <c r="P103" s="2">
        <f>AVERAGE(P3:P102)</f>
        <v>4.693333333333328</v>
      </c>
      <c r="U103" s="2">
        <f>AVERAGE(U3:U102)</f>
        <v>4.7359999999999944</v>
      </c>
      <c r="Z103" s="2">
        <f>AVERAGE(Z3:Z102)</f>
        <v>4.7359999999999944</v>
      </c>
      <c r="AE103" s="2">
        <f>AVERAGE(AE3:AE102)</f>
        <v>4.7466666666666608</v>
      </c>
      <c r="AJ103" s="2">
        <f>AVERAGE(AJ3:AJ102)</f>
        <v>4.7075555555555493</v>
      </c>
      <c r="AO103" s="2">
        <f>AVERAGE(AO3:AO102)</f>
        <v>4.7395555555555502</v>
      </c>
      <c r="AT103" s="2">
        <f>AVERAGE(AT3:AT102)</f>
        <v>4.7182222222222165</v>
      </c>
      <c r="AY103" s="2">
        <f>AVERAGE(AY3:AY102)</f>
        <v>4.7644444444444387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3"/>
  <sheetViews>
    <sheetView workbookViewId="0">
      <selection activeCell="A103" sqref="A103:XFD103"/>
    </sheetView>
  </sheetViews>
  <sheetFormatPr defaultRowHeight="14.4" x14ac:dyDescent="0.3"/>
  <cols>
    <col min="6" max="6" width="12.44140625" customWidth="1"/>
    <col min="11" max="11" width="12.44140625" customWidth="1"/>
    <col min="12" max="12" width="9.5546875" customWidth="1"/>
    <col min="16" max="16" width="14" customWidth="1"/>
    <col min="21" max="21" width="13" customWidth="1"/>
    <col min="26" max="26" width="14.88671875" customWidth="1"/>
    <col min="31" max="31" width="12.44140625" customWidth="1"/>
    <col min="36" max="36" width="12.109375" customWidth="1"/>
    <col min="41" max="41" width="13.6640625" customWidth="1"/>
  </cols>
  <sheetData>
    <row r="1" spans="1:51" x14ac:dyDescent="0.3">
      <c r="A1" s="1"/>
      <c r="B1" s="1" t="s">
        <v>0</v>
      </c>
      <c r="C1" s="1"/>
      <c r="D1" s="1"/>
      <c r="E1" s="1"/>
      <c r="F1" s="1"/>
      <c r="H1" s="1" t="s">
        <v>108</v>
      </c>
      <c r="I1" s="1"/>
      <c r="J1" s="1"/>
      <c r="K1" s="1"/>
      <c r="L1" s="1" t="s">
        <v>109</v>
      </c>
      <c r="M1" s="1"/>
      <c r="N1" s="1"/>
      <c r="O1" s="1"/>
      <c r="P1" s="1"/>
      <c r="R1" s="1" t="s">
        <v>110</v>
      </c>
      <c r="S1" s="1"/>
      <c r="T1" s="1"/>
      <c r="U1" s="1"/>
      <c r="V1" s="1" t="s">
        <v>114</v>
      </c>
      <c r="W1" s="1"/>
      <c r="X1" s="1"/>
      <c r="Y1" s="1"/>
      <c r="Z1" s="1"/>
      <c r="AB1" s="1" t="s">
        <v>115</v>
      </c>
      <c r="AC1" s="1"/>
      <c r="AD1" s="1"/>
      <c r="AE1" s="1"/>
      <c r="AF1" s="1" t="s">
        <v>116</v>
      </c>
      <c r="AG1" s="1"/>
      <c r="AH1" s="1"/>
      <c r="AI1" s="1"/>
      <c r="AJ1" s="1"/>
      <c r="AL1" s="1" t="s">
        <v>117</v>
      </c>
      <c r="AM1" s="1"/>
      <c r="AN1" s="1"/>
      <c r="AO1" s="1"/>
      <c r="AP1" s="1" t="s">
        <v>118</v>
      </c>
      <c r="AQ1" s="1"/>
      <c r="AR1" s="1"/>
      <c r="AS1" s="1"/>
      <c r="AT1" s="1"/>
      <c r="AV1" s="1" t="s">
        <v>119</v>
      </c>
      <c r="AW1" s="1"/>
      <c r="AX1" s="1"/>
      <c r="AY1" s="1"/>
    </row>
    <row r="2" spans="1:51" ht="69.59999999999999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111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112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113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125</v>
      </c>
      <c r="AA2" s="1" t="s">
        <v>2</v>
      </c>
      <c r="AB2" s="1" t="s">
        <v>3</v>
      </c>
      <c r="AC2" s="1" t="s">
        <v>4</v>
      </c>
      <c r="AD2" s="1" t="s">
        <v>5</v>
      </c>
      <c r="AE2" s="1" t="s">
        <v>124</v>
      </c>
      <c r="AF2" s="1" t="s">
        <v>2</v>
      </c>
      <c r="AG2" s="1" t="s">
        <v>3</v>
      </c>
      <c r="AH2" s="1" t="s">
        <v>4</v>
      </c>
      <c r="AI2" s="1" t="s">
        <v>5</v>
      </c>
      <c r="AJ2" s="1" t="s">
        <v>123</v>
      </c>
      <c r="AK2" s="1" t="s">
        <v>2</v>
      </c>
      <c r="AL2" s="1" t="s">
        <v>3</v>
      </c>
      <c r="AM2" s="1" t="s">
        <v>4</v>
      </c>
      <c r="AN2" s="1" t="s">
        <v>5</v>
      </c>
      <c r="AO2" s="1" t="s">
        <v>122</v>
      </c>
      <c r="AP2" s="1" t="s">
        <v>2</v>
      </c>
      <c r="AQ2" s="1" t="s">
        <v>3</v>
      </c>
      <c r="AR2" s="1" t="s">
        <v>4</v>
      </c>
      <c r="AS2" s="1" t="s">
        <v>5</v>
      </c>
      <c r="AT2" s="1" t="s">
        <v>121</v>
      </c>
      <c r="AU2" s="1" t="s">
        <v>2</v>
      </c>
      <c r="AV2" s="1" t="s">
        <v>3</v>
      </c>
      <c r="AW2" s="1" t="s">
        <v>4</v>
      </c>
      <c r="AX2" s="1" t="s">
        <v>5</v>
      </c>
      <c r="AY2" s="1" t="s">
        <v>120</v>
      </c>
    </row>
    <row r="3" spans="1:51" x14ac:dyDescent="0.3">
      <c r="A3" s="2" t="s">
        <v>7</v>
      </c>
      <c r="B3">
        <v>1040</v>
      </c>
      <c r="C3">
        <v>1040</v>
      </c>
      <c r="D3" s="2">
        <f>SUM(B3:C3)</f>
        <v>2080</v>
      </c>
      <c r="E3" s="2">
        <f>(D3*8)</f>
        <v>16640</v>
      </c>
      <c r="F3" s="2">
        <f>(E3/3600)</f>
        <v>4.6222222222222218</v>
      </c>
      <c r="G3">
        <v>1040</v>
      </c>
      <c r="H3">
        <v>1040</v>
      </c>
      <c r="I3" s="2">
        <f>SUM(G3:H3)</f>
        <v>2080</v>
      </c>
      <c r="J3" s="2">
        <f>(I3*8)</f>
        <v>16640</v>
      </c>
      <c r="K3" s="2">
        <f>(J3/3600)</f>
        <v>4.6222222222222218</v>
      </c>
      <c r="L3">
        <v>1040</v>
      </c>
      <c r="M3">
        <v>1040</v>
      </c>
      <c r="N3" s="2">
        <f>SUM(L3:M3)</f>
        <v>2080</v>
      </c>
      <c r="O3" s="2">
        <f>(N3*8)</f>
        <v>16640</v>
      </c>
      <c r="P3" s="2">
        <f>(O3/3600)</f>
        <v>4.6222222222222218</v>
      </c>
      <c r="Q3">
        <v>1120</v>
      </c>
      <c r="R3">
        <v>1120</v>
      </c>
      <c r="S3" s="2">
        <f>SUM(Q3:R3)</f>
        <v>2240</v>
      </c>
      <c r="T3" s="2">
        <f>(S3*8)</f>
        <v>17920</v>
      </c>
      <c r="U3" s="2">
        <f>(T3/3600)</f>
        <v>4.9777777777777779</v>
      </c>
      <c r="V3">
        <v>960</v>
      </c>
      <c r="W3">
        <v>960</v>
      </c>
      <c r="X3" s="2">
        <f>SUM(V3:W3)</f>
        <v>1920</v>
      </c>
      <c r="Y3" s="2">
        <f>(X3*8)</f>
        <v>15360</v>
      </c>
      <c r="Z3" s="2">
        <f>(Y3/3600)</f>
        <v>4.2666666666666666</v>
      </c>
      <c r="AA3">
        <v>1040</v>
      </c>
      <c r="AB3">
        <v>1040</v>
      </c>
      <c r="AC3" s="2">
        <f>SUM(AA3:AB3)</f>
        <v>2080</v>
      </c>
      <c r="AD3" s="2">
        <f>(AC3*8)</f>
        <v>16640</v>
      </c>
      <c r="AE3" s="2">
        <f>(AD3/3600)</f>
        <v>4.6222222222222218</v>
      </c>
      <c r="AF3">
        <v>960</v>
      </c>
      <c r="AG3">
        <v>960</v>
      </c>
      <c r="AH3" s="2">
        <f>SUM(AF3:AG3)</f>
        <v>1920</v>
      </c>
      <c r="AI3" s="2">
        <f>(AH3*8)</f>
        <v>15360</v>
      </c>
      <c r="AJ3" s="2">
        <f>(AI3/3600)</f>
        <v>4.2666666666666666</v>
      </c>
      <c r="AK3">
        <v>1200</v>
      </c>
      <c r="AL3">
        <v>1200</v>
      </c>
      <c r="AM3" s="2">
        <f>SUM(AK3:AL3)</f>
        <v>2400</v>
      </c>
      <c r="AN3" s="2">
        <f>(AM3*8)</f>
        <v>19200</v>
      </c>
      <c r="AO3" s="2">
        <f>(AN3/3600)</f>
        <v>5.333333333333333</v>
      </c>
      <c r="AP3">
        <v>1120</v>
      </c>
      <c r="AQ3">
        <v>1120</v>
      </c>
      <c r="AR3" s="2">
        <f>SUM(AP3:AQ3)</f>
        <v>2240</v>
      </c>
      <c r="AS3" s="2">
        <f>(AR3*8)</f>
        <v>17920</v>
      </c>
      <c r="AT3" s="2">
        <f>(AS3/3600)</f>
        <v>4.9777777777777779</v>
      </c>
      <c r="AU3">
        <v>960</v>
      </c>
      <c r="AV3">
        <v>960</v>
      </c>
      <c r="AW3" s="2">
        <f>SUM(AU3:AV3)</f>
        <v>1920</v>
      </c>
      <c r="AX3" s="2">
        <f>(AW3*8)</f>
        <v>15360</v>
      </c>
      <c r="AY3" s="2">
        <f>(AX3/3600)</f>
        <v>4.2666666666666666</v>
      </c>
    </row>
    <row r="4" spans="1:51" x14ac:dyDescent="0.3">
      <c r="A4" s="2" t="s">
        <v>8</v>
      </c>
      <c r="B4">
        <v>1280</v>
      </c>
      <c r="C4">
        <v>1280</v>
      </c>
      <c r="D4" s="2">
        <f t="shared" ref="D4:D67" si="0">SUM(B4:C4)</f>
        <v>2560</v>
      </c>
      <c r="E4" s="2">
        <f t="shared" ref="E4:E67" si="1">(D4*8)</f>
        <v>20480</v>
      </c>
      <c r="F4" s="2">
        <f t="shared" ref="F4:F67" si="2">(E4/3600)</f>
        <v>5.6888888888888891</v>
      </c>
      <c r="G4">
        <v>1040</v>
      </c>
      <c r="H4">
        <v>1040</v>
      </c>
      <c r="I4" s="2">
        <f t="shared" ref="I4:I67" si="3">SUM(G4:H4)</f>
        <v>2080</v>
      </c>
      <c r="J4" s="2">
        <f t="shared" ref="J4:J67" si="4">(I4*8)</f>
        <v>16640</v>
      </c>
      <c r="K4" s="2">
        <f t="shared" ref="K4:K67" si="5">(J4/3600)</f>
        <v>4.6222222222222218</v>
      </c>
      <c r="L4">
        <v>1200</v>
      </c>
      <c r="M4">
        <v>1200</v>
      </c>
      <c r="N4" s="2">
        <f t="shared" ref="N4:N67" si="6">SUM(L4:M4)</f>
        <v>2400</v>
      </c>
      <c r="O4" s="2">
        <f t="shared" ref="O4:O67" si="7">(N4*8)</f>
        <v>19200</v>
      </c>
      <c r="P4" s="2">
        <f t="shared" ref="P4:P67" si="8">(O4/3600)</f>
        <v>5.333333333333333</v>
      </c>
      <c r="Q4">
        <v>1040</v>
      </c>
      <c r="R4">
        <v>1040</v>
      </c>
      <c r="S4" s="2">
        <f t="shared" ref="S4:S67" si="9">SUM(Q4:R4)</f>
        <v>2080</v>
      </c>
      <c r="T4" s="2">
        <f t="shared" ref="T4:T67" si="10">(S4*8)</f>
        <v>16640</v>
      </c>
      <c r="U4" s="2">
        <f t="shared" ref="U4:U67" si="11">(T4/3600)</f>
        <v>4.6222222222222218</v>
      </c>
      <c r="V4">
        <v>1120</v>
      </c>
      <c r="W4">
        <v>1120</v>
      </c>
      <c r="X4" s="2">
        <f t="shared" ref="X4:X67" si="12">SUM(V4:W4)</f>
        <v>2240</v>
      </c>
      <c r="Y4" s="2">
        <f t="shared" ref="Y4:Y67" si="13">(X4*8)</f>
        <v>17920</v>
      </c>
      <c r="Z4" s="2">
        <f t="shared" ref="Z4:Z67" si="14">(Y4/3600)</f>
        <v>4.9777777777777779</v>
      </c>
      <c r="AA4">
        <v>1200</v>
      </c>
      <c r="AB4">
        <v>1200</v>
      </c>
      <c r="AC4" s="2">
        <f t="shared" ref="AC4:AC67" si="15">SUM(AA4:AB4)</f>
        <v>2400</v>
      </c>
      <c r="AD4" s="2">
        <f t="shared" ref="AD4:AD67" si="16">(AC4*8)</f>
        <v>19200</v>
      </c>
      <c r="AE4" s="2">
        <f t="shared" ref="AE4:AE67" si="17">(AD4/3600)</f>
        <v>5.333333333333333</v>
      </c>
      <c r="AF4">
        <v>880</v>
      </c>
      <c r="AG4">
        <v>880</v>
      </c>
      <c r="AH4" s="2">
        <f t="shared" ref="AH4:AH67" si="18">SUM(AF4:AG4)</f>
        <v>1760</v>
      </c>
      <c r="AI4" s="2">
        <f t="shared" ref="AI4:AI67" si="19">(AH4*8)</f>
        <v>14080</v>
      </c>
      <c r="AJ4" s="2">
        <f t="shared" ref="AJ4:AJ67" si="20">(AI4/3600)</f>
        <v>3.911111111111111</v>
      </c>
      <c r="AK4">
        <v>880</v>
      </c>
      <c r="AL4">
        <v>880</v>
      </c>
      <c r="AM4" s="2">
        <f t="shared" ref="AM4:AM67" si="21">SUM(AK4:AL4)</f>
        <v>1760</v>
      </c>
      <c r="AN4" s="2">
        <f t="shared" ref="AN4:AN67" si="22">(AM4*8)</f>
        <v>14080</v>
      </c>
      <c r="AO4" s="2">
        <f t="shared" ref="AO4:AO67" si="23">(AN4/3600)</f>
        <v>3.911111111111111</v>
      </c>
      <c r="AP4">
        <v>1200</v>
      </c>
      <c r="AQ4">
        <v>1200</v>
      </c>
      <c r="AR4" s="2">
        <f t="shared" ref="AR4:AR67" si="24">SUM(AP4:AQ4)</f>
        <v>2400</v>
      </c>
      <c r="AS4" s="2">
        <f t="shared" ref="AS4:AS67" si="25">(AR4*8)</f>
        <v>19200</v>
      </c>
      <c r="AT4" s="2">
        <f t="shared" ref="AT4:AT67" si="26">(AS4/3600)</f>
        <v>5.333333333333333</v>
      </c>
      <c r="AU4">
        <v>960</v>
      </c>
      <c r="AV4">
        <v>960</v>
      </c>
      <c r="AW4" s="2">
        <f t="shared" ref="AW4:AW67" si="27">SUM(AU4:AV4)</f>
        <v>1920</v>
      </c>
      <c r="AX4" s="2">
        <f t="shared" ref="AX4:AX67" si="28">(AW4*8)</f>
        <v>15360</v>
      </c>
      <c r="AY4" s="2">
        <f t="shared" ref="AY4:AY67" si="29">(AX4/3600)</f>
        <v>4.2666666666666666</v>
      </c>
    </row>
    <row r="5" spans="1:51" x14ac:dyDescent="0.3">
      <c r="A5" s="2" t="s">
        <v>9</v>
      </c>
      <c r="B5">
        <v>1120</v>
      </c>
      <c r="C5">
        <v>1120</v>
      </c>
      <c r="D5" s="2">
        <f t="shared" si="0"/>
        <v>2240</v>
      </c>
      <c r="E5" s="2">
        <f t="shared" si="1"/>
        <v>17920</v>
      </c>
      <c r="F5" s="2">
        <f t="shared" si="2"/>
        <v>4.9777777777777779</v>
      </c>
      <c r="G5">
        <v>880</v>
      </c>
      <c r="H5">
        <v>880</v>
      </c>
      <c r="I5" s="2">
        <f t="shared" si="3"/>
        <v>1760</v>
      </c>
      <c r="J5" s="2">
        <f t="shared" si="4"/>
        <v>14080</v>
      </c>
      <c r="K5" s="2">
        <f t="shared" si="5"/>
        <v>3.911111111111111</v>
      </c>
      <c r="L5">
        <v>1120</v>
      </c>
      <c r="M5">
        <v>1120</v>
      </c>
      <c r="N5" s="2">
        <f t="shared" si="6"/>
        <v>2240</v>
      </c>
      <c r="O5" s="2">
        <f t="shared" si="7"/>
        <v>17920</v>
      </c>
      <c r="P5" s="2">
        <f t="shared" si="8"/>
        <v>4.9777777777777779</v>
      </c>
      <c r="Q5">
        <v>1040</v>
      </c>
      <c r="R5">
        <v>1040</v>
      </c>
      <c r="S5" s="2">
        <f t="shared" si="9"/>
        <v>2080</v>
      </c>
      <c r="T5" s="2">
        <f t="shared" si="10"/>
        <v>16640</v>
      </c>
      <c r="U5" s="2">
        <f t="shared" si="11"/>
        <v>4.6222222222222218</v>
      </c>
      <c r="V5">
        <v>880</v>
      </c>
      <c r="W5">
        <v>880</v>
      </c>
      <c r="X5" s="2">
        <f t="shared" si="12"/>
        <v>1760</v>
      </c>
      <c r="Y5" s="2">
        <f t="shared" si="13"/>
        <v>14080</v>
      </c>
      <c r="Z5" s="2">
        <f t="shared" si="14"/>
        <v>3.911111111111111</v>
      </c>
      <c r="AA5">
        <v>1120</v>
      </c>
      <c r="AB5">
        <v>1120</v>
      </c>
      <c r="AC5" s="2">
        <f t="shared" si="15"/>
        <v>2240</v>
      </c>
      <c r="AD5" s="2">
        <f t="shared" si="16"/>
        <v>17920</v>
      </c>
      <c r="AE5" s="2">
        <f t="shared" si="17"/>
        <v>4.9777777777777779</v>
      </c>
      <c r="AF5">
        <v>1040</v>
      </c>
      <c r="AG5">
        <v>1040</v>
      </c>
      <c r="AH5" s="2">
        <f t="shared" si="18"/>
        <v>2080</v>
      </c>
      <c r="AI5" s="2">
        <f t="shared" si="19"/>
        <v>16640</v>
      </c>
      <c r="AJ5" s="2">
        <f t="shared" si="20"/>
        <v>4.6222222222222218</v>
      </c>
      <c r="AK5">
        <v>1120</v>
      </c>
      <c r="AL5">
        <v>1120</v>
      </c>
      <c r="AM5" s="2">
        <f t="shared" si="21"/>
        <v>2240</v>
      </c>
      <c r="AN5" s="2">
        <f t="shared" si="22"/>
        <v>17920</v>
      </c>
      <c r="AO5" s="2">
        <f t="shared" si="23"/>
        <v>4.9777777777777779</v>
      </c>
      <c r="AP5">
        <v>960</v>
      </c>
      <c r="AQ5">
        <v>960</v>
      </c>
      <c r="AR5" s="2">
        <f t="shared" si="24"/>
        <v>1920</v>
      </c>
      <c r="AS5" s="2">
        <f t="shared" si="25"/>
        <v>15360</v>
      </c>
      <c r="AT5" s="2">
        <f t="shared" si="26"/>
        <v>4.2666666666666666</v>
      </c>
      <c r="AU5">
        <v>1120</v>
      </c>
      <c r="AV5">
        <v>1120</v>
      </c>
      <c r="AW5" s="2">
        <f t="shared" si="27"/>
        <v>2240</v>
      </c>
      <c r="AX5" s="2">
        <f t="shared" si="28"/>
        <v>17920</v>
      </c>
      <c r="AY5" s="2">
        <f t="shared" si="29"/>
        <v>4.9777777777777779</v>
      </c>
    </row>
    <row r="6" spans="1:51" x14ac:dyDescent="0.3">
      <c r="A6" s="2" t="s">
        <v>10</v>
      </c>
      <c r="B6">
        <v>1200</v>
      </c>
      <c r="C6">
        <v>1200</v>
      </c>
      <c r="D6" s="2">
        <f t="shared" si="0"/>
        <v>2400</v>
      </c>
      <c r="E6" s="2">
        <f t="shared" si="1"/>
        <v>19200</v>
      </c>
      <c r="F6" s="2">
        <f t="shared" si="2"/>
        <v>5.333333333333333</v>
      </c>
      <c r="G6">
        <v>880</v>
      </c>
      <c r="H6">
        <v>880</v>
      </c>
      <c r="I6" s="2">
        <f t="shared" si="3"/>
        <v>1760</v>
      </c>
      <c r="J6" s="2">
        <f t="shared" si="4"/>
        <v>14080</v>
      </c>
      <c r="K6" s="2">
        <f t="shared" si="5"/>
        <v>3.911111111111111</v>
      </c>
      <c r="L6">
        <v>1200</v>
      </c>
      <c r="M6">
        <v>1200</v>
      </c>
      <c r="N6" s="2">
        <f t="shared" si="6"/>
        <v>2400</v>
      </c>
      <c r="O6" s="2">
        <f t="shared" si="7"/>
        <v>19200</v>
      </c>
      <c r="P6" s="2">
        <f t="shared" si="8"/>
        <v>5.333333333333333</v>
      </c>
      <c r="Q6">
        <v>1040</v>
      </c>
      <c r="R6">
        <v>1040</v>
      </c>
      <c r="S6" s="2">
        <f t="shared" si="9"/>
        <v>2080</v>
      </c>
      <c r="T6" s="2">
        <f t="shared" si="10"/>
        <v>16640</v>
      </c>
      <c r="U6" s="2">
        <f t="shared" si="11"/>
        <v>4.6222222222222218</v>
      </c>
      <c r="V6">
        <v>1200</v>
      </c>
      <c r="W6">
        <v>1200</v>
      </c>
      <c r="X6" s="2">
        <f t="shared" si="12"/>
        <v>2400</v>
      </c>
      <c r="Y6" s="2">
        <f t="shared" si="13"/>
        <v>19200</v>
      </c>
      <c r="Z6" s="2">
        <f t="shared" si="14"/>
        <v>5.333333333333333</v>
      </c>
      <c r="AA6">
        <v>1120</v>
      </c>
      <c r="AB6">
        <v>1120</v>
      </c>
      <c r="AC6" s="2">
        <f t="shared" si="15"/>
        <v>2240</v>
      </c>
      <c r="AD6" s="2">
        <f t="shared" si="16"/>
        <v>17920</v>
      </c>
      <c r="AE6" s="2">
        <f t="shared" si="17"/>
        <v>4.9777777777777779</v>
      </c>
      <c r="AF6">
        <v>1280</v>
      </c>
      <c r="AG6">
        <v>1280</v>
      </c>
      <c r="AH6" s="2">
        <f t="shared" si="18"/>
        <v>2560</v>
      </c>
      <c r="AI6" s="2">
        <f t="shared" si="19"/>
        <v>20480</v>
      </c>
      <c r="AJ6" s="2">
        <f t="shared" si="20"/>
        <v>5.6888888888888891</v>
      </c>
      <c r="AK6">
        <v>1040</v>
      </c>
      <c r="AL6">
        <v>1040</v>
      </c>
      <c r="AM6" s="2">
        <f t="shared" si="21"/>
        <v>2080</v>
      </c>
      <c r="AN6" s="2">
        <f t="shared" si="22"/>
        <v>16640</v>
      </c>
      <c r="AO6" s="2">
        <f t="shared" si="23"/>
        <v>4.6222222222222218</v>
      </c>
      <c r="AP6">
        <v>1280</v>
      </c>
      <c r="AQ6">
        <v>1280</v>
      </c>
      <c r="AR6" s="2">
        <f t="shared" si="24"/>
        <v>2560</v>
      </c>
      <c r="AS6" s="2">
        <f t="shared" si="25"/>
        <v>20480</v>
      </c>
      <c r="AT6" s="2">
        <f t="shared" si="26"/>
        <v>5.6888888888888891</v>
      </c>
      <c r="AU6">
        <v>1120</v>
      </c>
      <c r="AV6">
        <v>1120</v>
      </c>
      <c r="AW6" s="2">
        <f t="shared" si="27"/>
        <v>2240</v>
      </c>
      <c r="AX6" s="2">
        <f t="shared" si="28"/>
        <v>17920</v>
      </c>
      <c r="AY6" s="2">
        <f t="shared" si="29"/>
        <v>4.9777777777777779</v>
      </c>
    </row>
    <row r="7" spans="1:51" x14ac:dyDescent="0.3">
      <c r="A7" s="2" t="s">
        <v>11</v>
      </c>
      <c r="B7">
        <v>1200</v>
      </c>
      <c r="C7">
        <v>1200</v>
      </c>
      <c r="D7" s="2">
        <f t="shared" si="0"/>
        <v>2400</v>
      </c>
      <c r="E7" s="2">
        <f t="shared" si="1"/>
        <v>19200</v>
      </c>
      <c r="F7" s="2">
        <f t="shared" si="2"/>
        <v>5.333333333333333</v>
      </c>
      <c r="G7">
        <v>1200</v>
      </c>
      <c r="H7">
        <v>1200</v>
      </c>
      <c r="I7" s="2">
        <f t="shared" si="3"/>
        <v>2400</v>
      </c>
      <c r="J7" s="2">
        <f t="shared" si="4"/>
        <v>19200</v>
      </c>
      <c r="K7" s="2">
        <f t="shared" si="5"/>
        <v>5.333333333333333</v>
      </c>
      <c r="L7">
        <v>1040</v>
      </c>
      <c r="M7">
        <v>1040</v>
      </c>
      <c r="N7" s="2">
        <f t="shared" si="6"/>
        <v>2080</v>
      </c>
      <c r="O7" s="2">
        <f t="shared" si="7"/>
        <v>16640</v>
      </c>
      <c r="P7" s="2">
        <f t="shared" si="8"/>
        <v>4.6222222222222218</v>
      </c>
      <c r="Q7">
        <v>1040</v>
      </c>
      <c r="R7">
        <v>1040</v>
      </c>
      <c r="S7" s="2">
        <f t="shared" si="9"/>
        <v>2080</v>
      </c>
      <c r="T7" s="2">
        <f t="shared" si="10"/>
        <v>16640</v>
      </c>
      <c r="U7" s="2">
        <f t="shared" si="11"/>
        <v>4.6222222222222218</v>
      </c>
      <c r="V7">
        <v>1040</v>
      </c>
      <c r="W7">
        <v>1040</v>
      </c>
      <c r="X7" s="2">
        <f t="shared" si="12"/>
        <v>2080</v>
      </c>
      <c r="Y7" s="2">
        <f t="shared" si="13"/>
        <v>16640</v>
      </c>
      <c r="Z7" s="2">
        <f t="shared" si="14"/>
        <v>4.6222222222222218</v>
      </c>
      <c r="AA7">
        <v>1040</v>
      </c>
      <c r="AB7">
        <v>1040</v>
      </c>
      <c r="AC7" s="2">
        <f t="shared" si="15"/>
        <v>2080</v>
      </c>
      <c r="AD7" s="2">
        <f t="shared" si="16"/>
        <v>16640</v>
      </c>
      <c r="AE7" s="2">
        <f t="shared" si="17"/>
        <v>4.6222222222222218</v>
      </c>
      <c r="AF7">
        <v>960</v>
      </c>
      <c r="AG7">
        <v>960</v>
      </c>
      <c r="AH7" s="2">
        <f t="shared" si="18"/>
        <v>1920</v>
      </c>
      <c r="AI7" s="2">
        <f t="shared" si="19"/>
        <v>15360</v>
      </c>
      <c r="AJ7" s="2">
        <f t="shared" si="20"/>
        <v>4.2666666666666666</v>
      </c>
      <c r="AK7">
        <v>1120</v>
      </c>
      <c r="AL7">
        <v>1120</v>
      </c>
      <c r="AM7" s="2">
        <f t="shared" si="21"/>
        <v>2240</v>
      </c>
      <c r="AN7" s="2">
        <f t="shared" si="22"/>
        <v>17920</v>
      </c>
      <c r="AO7" s="2">
        <f t="shared" si="23"/>
        <v>4.9777777777777779</v>
      </c>
      <c r="AP7">
        <v>800</v>
      </c>
      <c r="AQ7">
        <v>800</v>
      </c>
      <c r="AR7" s="2">
        <f t="shared" si="24"/>
        <v>1600</v>
      </c>
      <c r="AS7" s="2">
        <f t="shared" si="25"/>
        <v>12800</v>
      </c>
      <c r="AT7" s="2">
        <f t="shared" si="26"/>
        <v>3.5555555555555554</v>
      </c>
      <c r="AU7">
        <v>1040</v>
      </c>
      <c r="AV7">
        <v>1040</v>
      </c>
      <c r="AW7" s="2">
        <f t="shared" si="27"/>
        <v>2080</v>
      </c>
      <c r="AX7" s="2">
        <f t="shared" si="28"/>
        <v>16640</v>
      </c>
      <c r="AY7" s="2">
        <f t="shared" si="29"/>
        <v>4.6222222222222218</v>
      </c>
    </row>
    <row r="8" spans="1:51" x14ac:dyDescent="0.3">
      <c r="A8" s="2" t="s">
        <v>12</v>
      </c>
      <c r="B8">
        <v>1120</v>
      </c>
      <c r="C8">
        <v>1120</v>
      </c>
      <c r="D8" s="2">
        <f t="shared" si="0"/>
        <v>2240</v>
      </c>
      <c r="E8" s="2">
        <f t="shared" si="1"/>
        <v>17920</v>
      </c>
      <c r="F8" s="2">
        <f t="shared" si="2"/>
        <v>4.9777777777777779</v>
      </c>
      <c r="G8">
        <v>1120</v>
      </c>
      <c r="H8">
        <v>1120</v>
      </c>
      <c r="I8" s="2">
        <f t="shared" si="3"/>
        <v>2240</v>
      </c>
      <c r="J8" s="2">
        <f t="shared" si="4"/>
        <v>17920</v>
      </c>
      <c r="K8" s="2">
        <f t="shared" si="5"/>
        <v>4.9777777777777779</v>
      </c>
      <c r="L8">
        <v>880</v>
      </c>
      <c r="M8">
        <v>880</v>
      </c>
      <c r="N8" s="2">
        <f t="shared" si="6"/>
        <v>1760</v>
      </c>
      <c r="O8" s="2">
        <f t="shared" si="7"/>
        <v>14080</v>
      </c>
      <c r="P8" s="2">
        <f t="shared" si="8"/>
        <v>3.911111111111111</v>
      </c>
      <c r="Q8">
        <v>1040</v>
      </c>
      <c r="R8">
        <v>1040</v>
      </c>
      <c r="S8" s="2">
        <f t="shared" si="9"/>
        <v>2080</v>
      </c>
      <c r="T8" s="2">
        <f t="shared" si="10"/>
        <v>16640</v>
      </c>
      <c r="U8" s="2">
        <f t="shared" si="11"/>
        <v>4.6222222222222218</v>
      </c>
      <c r="V8">
        <v>1200</v>
      </c>
      <c r="W8">
        <v>1200</v>
      </c>
      <c r="X8" s="2">
        <f t="shared" si="12"/>
        <v>2400</v>
      </c>
      <c r="Y8" s="2">
        <f t="shared" si="13"/>
        <v>19200</v>
      </c>
      <c r="Z8" s="2">
        <f t="shared" si="14"/>
        <v>5.333333333333333</v>
      </c>
      <c r="AA8">
        <v>1040</v>
      </c>
      <c r="AB8">
        <v>1040</v>
      </c>
      <c r="AC8" s="2">
        <f t="shared" si="15"/>
        <v>2080</v>
      </c>
      <c r="AD8" s="2">
        <f t="shared" si="16"/>
        <v>16640</v>
      </c>
      <c r="AE8" s="2">
        <f t="shared" si="17"/>
        <v>4.6222222222222218</v>
      </c>
      <c r="AF8">
        <v>1120</v>
      </c>
      <c r="AG8">
        <v>1120</v>
      </c>
      <c r="AH8" s="2">
        <f t="shared" si="18"/>
        <v>2240</v>
      </c>
      <c r="AI8" s="2">
        <f t="shared" si="19"/>
        <v>17920</v>
      </c>
      <c r="AJ8" s="2">
        <f t="shared" si="20"/>
        <v>4.9777777777777779</v>
      </c>
      <c r="AK8">
        <v>1280</v>
      </c>
      <c r="AL8">
        <v>1280</v>
      </c>
      <c r="AM8" s="2">
        <f t="shared" si="21"/>
        <v>2560</v>
      </c>
      <c r="AN8" s="2">
        <f t="shared" si="22"/>
        <v>20480</v>
      </c>
      <c r="AO8" s="2">
        <f t="shared" si="23"/>
        <v>5.6888888888888891</v>
      </c>
      <c r="AP8">
        <v>1120</v>
      </c>
      <c r="AQ8">
        <v>1120</v>
      </c>
      <c r="AR8" s="2">
        <f t="shared" si="24"/>
        <v>2240</v>
      </c>
      <c r="AS8" s="2">
        <f t="shared" si="25"/>
        <v>17920</v>
      </c>
      <c r="AT8" s="2">
        <f t="shared" si="26"/>
        <v>4.9777777777777779</v>
      </c>
      <c r="AU8">
        <v>1040</v>
      </c>
      <c r="AV8">
        <v>1040</v>
      </c>
      <c r="AW8" s="2">
        <f t="shared" si="27"/>
        <v>2080</v>
      </c>
      <c r="AX8" s="2">
        <f t="shared" si="28"/>
        <v>16640</v>
      </c>
      <c r="AY8" s="2">
        <f t="shared" si="29"/>
        <v>4.6222222222222218</v>
      </c>
    </row>
    <row r="9" spans="1:51" x14ac:dyDescent="0.3">
      <c r="A9" s="2" t="s">
        <v>13</v>
      </c>
      <c r="B9">
        <v>880</v>
      </c>
      <c r="C9">
        <v>880</v>
      </c>
      <c r="D9" s="2">
        <f t="shared" si="0"/>
        <v>1760</v>
      </c>
      <c r="E9" s="2">
        <f t="shared" si="1"/>
        <v>14080</v>
      </c>
      <c r="F9" s="2">
        <f t="shared" si="2"/>
        <v>3.911111111111111</v>
      </c>
      <c r="G9">
        <v>960</v>
      </c>
      <c r="H9">
        <v>960</v>
      </c>
      <c r="I9" s="2">
        <f t="shared" si="3"/>
        <v>1920</v>
      </c>
      <c r="J9" s="2">
        <f t="shared" si="4"/>
        <v>15360</v>
      </c>
      <c r="K9" s="2">
        <f t="shared" si="5"/>
        <v>4.2666666666666666</v>
      </c>
      <c r="L9">
        <v>960</v>
      </c>
      <c r="M9">
        <v>960</v>
      </c>
      <c r="N9" s="2">
        <f t="shared" si="6"/>
        <v>1920</v>
      </c>
      <c r="O9" s="2">
        <f t="shared" si="7"/>
        <v>15360</v>
      </c>
      <c r="P9" s="2">
        <f t="shared" si="8"/>
        <v>4.2666666666666666</v>
      </c>
      <c r="Q9">
        <v>880</v>
      </c>
      <c r="R9">
        <v>880</v>
      </c>
      <c r="S9" s="2">
        <f t="shared" si="9"/>
        <v>1760</v>
      </c>
      <c r="T9" s="2">
        <f t="shared" si="10"/>
        <v>14080</v>
      </c>
      <c r="U9" s="2">
        <f t="shared" si="11"/>
        <v>3.911111111111111</v>
      </c>
      <c r="V9">
        <v>960</v>
      </c>
      <c r="W9">
        <v>960</v>
      </c>
      <c r="X9" s="2">
        <f t="shared" si="12"/>
        <v>1920</v>
      </c>
      <c r="Y9" s="2">
        <f t="shared" si="13"/>
        <v>15360</v>
      </c>
      <c r="Z9" s="2">
        <f t="shared" si="14"/>
        <v>4.2666666666666666</v>
      </c>
      <c r="AA9">
        <v>960</v>
      </c>
      <c r="AB9">
        <v>960</v>
      </c>
      <c r="AC9" s="2">
        <f t="shared" si="15"/>
        <v>1920</v>
      </c>
      <c r="AD9" s="2">
        <f t="shared" si="16"/>
        <v>15360</v>
      </c>
      <c r="AE9" s="2">
        <f t="shared" si="17"/>
        <v>4.2666666666666666</v>
      </c>
      <c r="AF9">
        <v>1040</v>
      </c>
      <c r="AG9">
        <v>1040</v>
      </c>
      <c r="AH9" s="2">
        <f t="shared" si="18"/>
        <v>2080</v>
      </c>
      <c r="AI9" s="2">
        <f t="shared" si="19"/>
        <v>16640</v>
      </c>
      <c r="AJ9" s="2">
        <f t="shared" si="20"/>
        <v>4.6222222222222218</v>
      </c>
      <c r="AK9">
        <v>720</v>
      </c>
      <c r="AL9">
        <v>720</v>
      </c>
      <c r="AM9" s="2">
        <f t="shared" si="21"/>
        <v>1440</v>
      </c>
      <c r="AN9" s="2">
        <f t="shared" si="22"/>
        <v>11520</v>
      </c>
      <c r="AO9" s="2">
        <f t="shared" si="23"/>
        <v>3.2</v>
      </c>
      <c r="AP9">
        <v>960</v>
      </c>
      <c r="AQ9">
        <v>960</v>
      </c>
      <c r="AR9" s="2">
        <f t="shared" si="24"/>
        <v>1920</v>
      </c>
      <c r="AS9" s="2">
        <f t="shared" si="25"/>
        <v>15360</v>
      </c>
      <c r="AT9" s="2">
        <f t="shared" si="26"/>
        <v>4.2666666666666666</v>
      </c>
      <c r="AU9">
        <v>960</v>
      </c>
      <c r="AV9">
        <v>960</v>
      </c>
      <c r="AW9" s="2">
        <f t="shared" si="27"/>
        <v>1920</v>
      </c>
      <c r="AX9" s="2">
        <f t="shared" si="28"/>
        <v>15360</v>
      </c>
      <c r="AY9" s="2">
        <f t="shared" si="29"/>
        <v>4.2666666666666666</v>
      </c>
    </row>
    <row r="10" spans="1:51" x14ac:dyDescent="0.3">
      <c r="A10" s="2" t="s">
        <v>14</v>
      </c>
      <c r="B10">
        <v>1040</v>
      </c>
      <c r="C10">
        <v>1040</v>
      </c>
      <c r="D10" s="2">
        <f t="shared" si="0"/>
        <v>2080</v>
      </c>
      <c r="E10" s="2">
        <f t="shared" si="1"/>
        <v>16640</v>
      </c>
      <c r="F10" s="2">
        <f t="shared" si="2"/>
        <v>4.6222222222222218</v>
      </c>
      <c r="G10">
        <v>1120</v>
      </c>
      <c r="H10">
        <v>1120</v>
      </c>
      <c r="I10" s="2">
        <f t="shared" si="3"/>
        <v>2240</v>
      </c>
      <c r="J10" s="2">
        <f t="shared" si="4"/>
        <v>17920</v>
      </c>
      <c r="K10" s="2">
        <f t="shared" si="5"/>
        <v>4.9777777777777779</v>
      </c>
      <c r="L10">
        <v>1040</v>
      </c>
      <c r="M10">
        <v>1040</v>
      </c>
      <c r="N10" s="2">
        <f t="shared" si="6"/>
        <v>2080</v>
      </c>
      <c r="O10" s="2">
        <f t="shared" si="7"/>
        <v>16640</v>
      </c>
      <c r="P10" s="2">
        <f t="shared" si="8"/>
        <v>4.6222222222222218</v>
      </c>
      <c r="Q10">
        <v>1120</v>
      </c>
      <c r="R10">
        <v>1120</v>
      </c>
      <c r="S10" s="2">
        <f t="shared" si="9"/>
        <v>2240</v>
      </c>
      <c r="T10" s="2">
        <f t="shared" si="10"/>
        <v>17920</v>
      </c>
      <c r="U10" s="2">
        <f t="shared" si="11"/>
        <v>4.9777777777777779</v>
      </c>
      <c r="V10">
        <v>1120</v>
      </c>
      <c r="W10">
        <v>1120</v>
      </c>
      <c r="X10" s="2">
        <f t="shared" si="12"/>
        <v>2240</v>
      </c>
      <c r="Y10" s="2">
        <f t="shared" si="13"/>
        <v>17920</v>
      </c>
      <c r="Z10" s="2">
        <f t="shared" si="14"/>
        <v>4.9777777777777779</v>
      </c>
      <c r="AA10">
        <v>1040</v>
      </c>
      <c r="AB10">
        <v>1040</v>
      </c>
      <c r="AC10" s="2">
        <f t="shared" si="15"/>
        <v>2080</v>
      </c>
      <c r="AD10" s="2">
        <f t="shared" si="16"/>
        <v>16640</v>
      </c>
      <c r="AE10" s="2">
        <f t="shared" si="17"/>
        <v>4.6222222222222218</v>
      </c>
      <c r="AF10">
        <v>1120</v>
      </c>
      <c r="AG10">
        <v>1120</v>
      </c>
      <c r="AH10" s="2">
        <f t="shared" si="18"/>
        <v>2240</v>
      </c>
      <c r="AI10" s="2">
        <f t="shared" si="19"/>
        <v>17920</v>
      </c>
      <c r="AJ10" s="2">
        <f t="shared" si="20"/>
        <v>4.9777777777777779</v>
      </c>
      <c r="AK10">
        <v>1280</v>
      </c>
      <c r="AL10">
        <v>1280</v>
      </c>
      <c r="AM10" s="2">
        <f t="shared" si="21"/>
        <v>2560</v>
      </c>
      <c r="AN10" s="2">
        <f t="shared" si="22"/>
        <v>20480</v>
      </c>
      <c r="AO10" s="2">
        <f t="shared" si="23"/>
        <v>5.6888888888888891</v>
      </c>
      <c r="AP10">
        <v>1200</v>
      </c>
      <c r="AQ10">
        <v>1200</v>
      </c>
      <c r="AR10" s="2">
        <f t="shared" si="24"/>
        <v>2400</v>
      </c>
      <c r="AS10" s="2">
        <f t="shared" si="25"/>
        <v>19200</v>
      </c>
      <c r="AT10" s="2">
        <f t="shared" si="26"/>
        <v>5.333333333333333</v>
      </c>
      <c r="AU10">
        <v>960</v>
      </c>
      <c r="AV10">
        <v>960</v>
      </c>
      <c r="AW10" s="2">
        <f t="shared" si="27"/>
        <v>1920</v>
      </c>
      <c r="AX10" s="2">
        <f t="shared" si="28"/>
        <v>15360</v>
      </c>
      <c r="AY10" s="2">
        <f t="shared" si="29"/>
        <v>4.2666666666666666</v>
      </c>
    </row>
    <row r="11" spans="1:51" x14ac:dyDescent="0.3">
      <c r="A11" s="2" t="s">
        <v>15</v>
      </c>
      <c r="B11">
        <v>1120</v>
      </c>
      <c r="C11">
        <v>1120</v>
      </c>
      <c r="D11" s="2">
        <f t="shared" si="0"/>
        <v>2240</v>
      </c>
      <c r="E11" s="2">
        <f t="shared" si="1"/>
        <v>17920</v>
      </c>
      <c r="F11" s="2">
        <f t="shared" si="2"/>
        <v>4.9777777777777779</v>
      </c>
      <c r="G11">
        <v>1120</v>
      </c>
      <c r="H11">
        <v>1120</v>
      </c>
      <c r="I11" s="2">
        <f t="shared" si="3"/>
        <v>2240</v>
      </c>
      <c r="J11" s="2">
        <f t="shared" si="4"/>
        <v>17920</v>
      </c>
      <c r="K11" s="2">
        <f t="shared" si="5"/>
        <v>4.9777777777777779</v>
      </c>
      <c r="L11">
        <v>1120</v>
      </c>
      <c r="M11">
        <v>1120</v>
      </c>
      <c r="N11" s="2">
        <f t="shared" si="6"/>
        <v>2240</v>
      </c>
      <c r="O11" s="2">
        <f t="shared" si="7"/>
        <v>17920</v>
      </c>
      <c r="P11" s="2">
        <f t="shared" si="8"/>
        <v>4.9777777777777779</v>
      </c>
      <c r="Q11">
        <v>1280</v>
      </c>
      <c r="R11">
        <v>1280</v>
      </c>
      <c r="S11" s="2">
        <f t="shared" si="9"/>
        <v>2560</v>
      </c>
      <c r="T11" s="2">
        <f t="shared" si="10"/>
        <v>20480</v>
      </c>
      <c r="U11" s="2">
        <f t="shared" si="11"/>
        <v>5.6888888888888891</v>
      </c>
      <c r="V11">
        <v>1040</v>
      </c>
      <c r="W11">
        <v>1040</v>
      </c>
      <c r="X11" s="2">
        <f t="shared" si="12"/>
        <v>2080</v>
      </c>
      <c r="Y11" s="2">
        <f t="shared" si="13"/>
        <v>16640</v>
      </c>
      <c r="Z11" s="2">
        <f t="shared" si="14"/>
        <v>4.6222222222222218</v>
      </c>
      <c r="AA11">
        <v>1040</v>
      </c>
      <c r="AB11">
        <v>1040</v>
      </c>
      <c r="AC11" s="2">
        <f t="shared" si="15"/>
        <v>2080</v>
      </c>
      <c r="AD11" s="2">
        <f t="shared" si="16"/>
        <v>16640</v>
      </c>
      <c r="AE11" s="2">
        <f t="shared" si="17"/>
        <v>4.6222222222222218</v>
      </c>
      <c r="AF11">
        <v>1280</v>
      </c>
      <c r="AG11">
        <v>1280</v>
      </c>
      <c r="AH11" s="2">
        <f t="shared" si="18"/>
        <v>2560</v>
      </c>
      <c r="AI11" s="2">
        <f t="shared" si="19"/>
        <v>20480</v>
      </c>
      <c r="AJ11" s="2">
        <f t="shared" si="20"/>
        <v>5.6888888888888891</v>
      </c>
      <c r="AK11">
        <v>1120</v>
      </c>
      <c r="AL11">
        <v>1120</v>
      </c>
      <c r="AM11" s="2">
        <f t="shared" si="21"/>
        <v>2240</v>
      </c>
      <c r="AN11" s="2">
        <f t="shared" si="22"/>
        <v>17920</v>
      </c>
      <c r="AO11" s="2">
        <f t="shared" si="23"/>
        <v>4.9777777777777779</v>
      </c>
      <c r="AP11">
        <v>1200</v>
      </c>
      <c r="AQ11">
        <v>1200</v>
      </c>
      <c r="AR11" s="2">
        <f t="shared" si="24"/>
        <v>2400</v>
      </c>
      <c r="AS11" s="2">
        <f t="shared" si="25"/>
        <v>19200</v>
      </c>
      <c r="AT11" s="2">
        <f t="shared" si="26"/>
        <v>5.333333333333333</v>
      </c>
      <c r="AU11">
        <v>1200</v>
      </c>
      <c r="AV11">
        <v>1200</v>
      </c>
      <c r="AW11" s="2">
        <f t="shared" si="27"/>
        <v>2400</v>
      </c>
      <c r="AX11" s="2">
        <f t="shared" si="28"/>
        <v>19200</v>
      </c>
      <c r="AY11" s="2">
        <f t="shared" si="29"/>
        <v>5.333333333333333</v>
      </c>
    </row>
    <row r="12" spans="1:51" x14ac:dyDescent="0.3">
      <c r="A12" s="2" t="s">
        <v>16</v>
      </c>
      <c r="B12">
        <v>960</v>
      </c>
      <c r="C12">
        <v>960</v>
      </c>
      <c r="D12" s="2">
        <f t="shared" si="0"/>
        <v>1920</v>
      </c>
      <c r="E12" s="2">
        <f t="shared" si="1"/>
        <v>15360</v>
      </c>
      <c r="F12" s="2">
        <f t="shared" si="2"/>
        <v>4.2666666666666666</v>
      </c>
      <c r="G12">
        <v>1120</v>
      </c>
      <c r="H12">
        <v>1120</v>
      </c>
      <c r="I12" s="2">
        <f t="shared" si="3"/>
        <v>2240</v>
      </c>
      <c r="J12" s="2">
        <f t="shared" si="4"/>
        <v>17920</v>
      </c>
      <c r="K12" s="2">
        <f t="shared" si="5"/>
        <v>4.9777777777777779</v>
      </c>
      <c r="L12">
        <v>1120</v>
      </c>
      <c r="M12">
        <v>1120</v>
      </c>
      <c r="N12" s="2">
        <f t="shared" si="6"/>
        <v>2240</v>
      </c>
      <c r="O12" s="2">
        <f t="shared" si="7"/>
        <v>17920</v>
      </c>
      <c r="P12" s="2">
        <f t="shared" si="8"/>
        <v>4.9777777777777779</v>
      </c>
      <c r="Q12">
        <v>1200</v>
      </c>
      <c r="R12">
        <v>1200</v>
      </c>
      <c r="S12" s="2">
        <f t="shared" si="9"/>
        <v>2400</v>
      </c>
      <c r="T12" s="2">
        <f t="shared" si="10"/>
        <v>19200</v>
      </c>
      <c r="U12" s="2">
        <f t="shared" si="11"/>
        <v>5.333333333333333</v>
      </c>
      <c r="V12">
        <v>1280</v>
      </c>
      <c r="W12">
        <v>1280</v>
      </c>
      <c r="X12" s="2">
        <f t="shared" si="12"/>
        <v>2560</v>
      </c>
      <c r="Y12" s="2">
        <f t="shared" si="13"/>
        <v>20480</v>
      </c>
      <c r="Z12" s="2">
        <f t="shared" si="14"/>
        <v>5.6888888888888891</v>
      </c>
      <c r="AA12">
        <v>1120</v>
      </c>
      <c r="AB12">
        <v>1120</v>
      </c>
      <c r="AC12" s="2">
        <f t="shared" si="15"/>
        <v>2240</v>
      </c>
      <c r="AD12" s="2">
        <f t="shared" si="16"/>
        <v>17920</v>
      </c>
      <c r="AE12" s="2">
        <f t="shared" si="17"/>
        <v>4.9777777777777779</v>
      </c>
      <c r="AF12">
        <v>1120</v>
      </c>
      <c r="AG12">
        <v>1120</v>
      </c>
      <c r="AH12" s="2">
        <f t="shared" si="18"/>
        <v>2240</v>
      </c>
      <c r="AI12" s="2">
        <f t="shared" si="19"/>
        <v>17920</v>
      </c>
      <c r="AJ12" s="2">
        <f t="shared" si="20"/>
        <v>4.9777777777777779</v>
      </c>
      <c r="AK12">
        <v>960</v>
      </c>
      <c r="AL12">
        <v>960</v>
      </c>
      <c r="AM12" s="2">
        <f t="shared" si="21"/>
        <v>1920</v>
      </c>
      <c r="AN12" s="2">
        <f t="shared" si="22"/>
        <v>15360</v>
      </c>
      <c r="AO12" s="2">
        <f t="shared" si="23"/>
        <v>4.2666666666666666</v>
      </c>
      <c r="AP12">
        <v>1200</v>
      </c>
      <c r="AQ12">
        <v>1200</v>
      </c>
      <c r="AR12" s="2">
        <f t="shared" si="24"/>
        <v>2400</v>
      </c>
      <c r="AS12" s="2">
        <f t="shared" si="25"/>
        <v>19200</v>
      </c>
      <c r="AT12" s="2">
        <f t="shared" si="26"/>
        <v>5.333333333333333</v>
      </c>
      <c r="AU12">
        <v>1120</v>
      </c>
      <c r="AV12">
        <v>1120</v>
      </c>
      <c r="AW12" s="2">
        <f t="shared" si="27"/>
        <v>2240</v>
      </c>
      <c r="AX12" s="2">
        <f t="shared" si="28"/>
        <v>17920</v>
      </c>
      <c r="AY12" s="2">
        <f t="shared" si="29"/>
        <v>4.9777777777777779</v>
      </c>
    </row>
    <row r="13" spans="1:51" x14ac:dyDescent="0.3">
      <c r="A13" s="2" t="s">
        <v>17</v>
      </c>
      <c r="B13">
        <v>1120</v>
      </c>
      <c r="C13">
        <v>1120</v>
      </c>
      <c r="D13" s="2">
        <f t="shared" si="0"/>
        <v>2240</v>
      </c>
      <c r="E13" s="2">
        <f t="shared" si="1"/>
        <v>17920</v>
      </c>
      <c r="F13" s="2">
        <f t="shared" si="2"/>
        <v>4.9777777777777779</v>
      </c>
      <c r="G13">
        <v>1040</v>
      </c>
      <c r="H13">
        <v>1040</v>
      </c>
      <c r="I13" s="2">
        <f t="shared" si="3"/>
        <v>2080</v>
      </c>
      <c r="J13" s="2">
        <f t="shared" si="4"/>
        <v>16640</v>
      </c>
      <c r="K13" s="2">
        <f t="shared" si="5"/>
        <v>4.6222222222222218</v>
      </c>
      <c r="L13">
        <v>1120</v>
      </c>
      <c r="M13">
        <v>1120</v>
      </c>
      <c r="N13" s="2">
        <f t="shared" si="6"/>
        <v>2240</v>
      </c>
      <c r="O13" s="2">
        <f t="shared" si="7"/>
        <v>17920</v>
      </c>
      <c r="P13" s="2">
        <f t="shared" si="8"/>
        <v>4.9777777777777779</v>
      </c>
      <c r="Q13">
        <v>1040</v>
      </c>
      <c r="R13">
        <v>1040</v>
      </c>
      <c r="S13" s="2">
        <f t="shared" si="9"/>
        <v>2080</v>
      </c>
      <c r="T13" s="2">
        <f t="shared" si="10"/>
        <v>16640</v>
      </c>
      <c r="U13" s="2">
        <f t="shared" si="11"/>
        <v>4.6222222222222218</v>
      </c>
      <c r="V13">
        <v>1040</v>
      </c>
      <c r="W13">
        <v>1040</v>
      </c>
      <c r="X13" s="2">
        <f t="shared" si="12"/>
        <v>2080</v>
      </c>
      <c r="Y13" s="2">
        <f t="shared" si="13"/>
        <v>16640</v>
      </c>
      <c r="Z13" s="2">
        <f t="shared" si="14"/>
        <v>4.6222222222222218</v>
      </c>
      <c r="AA13">
        <v>1120</v>
      </c>
      <c r="AB13">
        <v>1120</v>
      </c>
      <c r="AC13" s="2">
        <f t="shared" si="15"/>
        <v>2240</v>
      </c>
      <c r="AD13" s="2">
        <f t="shared" si="16"/>
        <v>17920</v>
      </c>
      <c r="AE13" s="2">
        <f t="shared" si="17"/>
        <v>4.9777777777777779</v>
      </c>
      <c r="AF13">
        <v>960</v>
      </c>
      <c r="AG13">
        <v>960</v>
      </c>
      <c r="AH13" s="2">
        <f t="shared" si="18"/>
        <v>1920</v>
      </c>
      <c r="AI13" s="2">
        <f t="shared" si="19"/>
        <v>15360</v>
      </c>
      <c r="AJ13" s="2">
        <f t="shared" si="20"/>
        <v>4.2666666666666666</v>
      </c>
      <c r="AK13">
        <v>1040</v>
      </c>
      <c r="AL13">
        <v>1040</v>
      </c>
      <c r="AM13" s="2">
        <f t="shared" si="21"/>
        <v>2080</v>
      </c>
      <c r="AN13" s="2">
        <f t="shared" si="22"/>
        <v>16640</v>
      </c>
      <c r="AO13" s="2">
        <f t="shared" si="23"/>
        <v>4.6222222222222218</v>
      </c>
      <c r="AP13">
        <v>1200</v>
      </c>
      <c r="AQ13">
        <v>1200</v>
      </c>
      <c r="AR13" s="2">
        <f t="shared" si="24"/>
        <v>2400</v>
      </c>
      <c r="AS13" s="2">
        <f t="shared" si="25"/>
        <v>19200</v>
      </c>
      <c r="AT13" s="2">
        <f t="shared" si="26"/>
        <v>5.333333333333333</v>
      </c>
      <c r="AU13">
        <v>1200</v>
      </c>
      <c r="AV13">
        <v>1200</v>
      </c>
      <c r="AW13" s="2">
        <f t="shared" si="27"/>
        <v>2400</v>
      </c>
      <c r="AX13" s="2">
        <f t="shared" si="28"/>
        <v>19200</v>
      </c>
      <c r="AY13" s="2">
        <f t="shared" si="29"/>
        <v>5.333333333333333</v>
      </c>
    </row>
    <row r="14" spans="1:51" x14ac:dyDescent="0.3">
      <c r="A14" s="2" t="s">
        <v>18</v>
      </c>
      <c r="B14">
        <v>1120</v>
      </c>
      <c r="C14">
        <v>1120</v>
      </c>
      <c r="D14" s="2">
        <f t="shared" si="0"/>
        <v>2240</v>
      </c>
      <c r="E14" s="2">
        <f t="shared" si="1"/>
        <v>17920</v>
      </c>
      <c r="F14" s="2">
        <f t="shared" si="2"/>
        <v>4.9777777777777779</v>
      </c>
      <c r="G14">
        <v>1200</v>
      </c>
      <c r="H14">
        <v>1200</v>
      </c>
      <c r="I14" s="2">
        <f t="shared" si="3"/>
        <v>2400</v>
      </c>
      <c r="J14" s="2">
        <f t="shared" si="4"/>
        <v>19200</v>
      </c>
      <c r="K14" s="2">
        <f t="shared" si="5"/>
        <v>5.333333333333333</v>
      </c>
      <c r="L14">
        <v>960</v>
      </c>
      <c r="M14">
        <v>960</v>
      </c>
      <c r="N14" s="2">
        <f t="shared" si="6"/>
        <v>1920</v>
      </c>
      <c r="O14" s="2">
        <f t="shared" si="7"/>
        <v>15360</v>
      </c>
      <c r="P14" s="2">
        <f t="shared" si="8"/>
        <v>4.2666666666666666</v>
      </c>
      <c r="Q14">
        <v>1200</v>
      </c>
      <c r="R14">
        <v>1200</v>
      </c>
      <c r="S14" s="2">
        <f t="shared" si="9"/>
        <v>2400</v>
      </c>
      <c r="T14" s="2">
        <f t="shared" si="10"/>
        <v>19200</v>
      </c>
      <c r="U14" s="2">
        <f t="shared" si="11"/>
        <v>5.333333333333333</v>
      </c>
      <c r="V14">
        <v>880</v>
      </c>
      <c r="W14">
        <v>880</v>
      </c>
      <c r="X14" s="2">
        <f t="shared" si="12"/>
        <v>1760</v>
      </c>
      <c r="Y14" s="2">
        <f t="shared" si="13"/>
        <v>14080</v>
      </c>
      <c r="Z14" s="2">
        <f t="shared" si="14"/>
        <v>3.911111111111111</v>
      </c>
      <c r="AA14">
        <v>1280</v>
      </c>
      <c r="AB14">
        <v>1280</v>
      </c>
      <c r="AC14" s="2">
        <f t="shared" si="15"/>
        <v>2560</v>
      </c>
      <c r="AD14" s="2">
        <f t="shared" si="16"/>
        <v>20480</v>
      </c>
      <c r="AE14" s="2">
        <f t="shared" si="17"/>
        <v>5.6888888888888891</v>
      </c>
      <c r="AF14">
        <v>1200</v>
      </c>
      <c r="AG14">
        <v>1200</v>
      </c>
      <c r="AH14" s="2">
        <f t="shared" si="18"/>
        <v>2400</v>
      </c>
      <c r="AI14" s="2">
        <f t="shared" si="19"/>
        <v>19200</v>
      </c>
      <c r="AJ14" s="2">
        <f t="shared" si="20"/>
        <v>5.333333333333333</v>
      </c>
      <c r="AK14">
        <v>1040</v>
      </c>
      <c r="AL14">
        <v>1040</v>
      </c>
      <c r="AM14" s="2">
        <f t="shared" si="21"/>
        <v>2080</v>
      </c>
      <c r="AN14" s="2">
        <f t="shared" si="22"/>
        <v>16640</v>
      </c>
      <c r="AO14" s="2">
        <f t="shared" si="23"/>
        <v>4.6222222222222218</v>
      </c>
      <c r="AP14">
        <v>960</v>
      </c>
      <c r="AQ14">
        <v>960</v>
      </c>
      <c r="AR14" s="2">
        <f t="shared" si="24"/>
        <v>1920</v>
      </c>
      <c r="AS14" s="2">
        <f t="shared" si="25"/>
        <v>15360</v>
      </c>
      <c r="AT14" s="2">
        <f t="shared" si="26"/>
        <v>4.2666666666666666</v>
      </c>
      <c r="AU14">
        <v>880</v>
      </c>
      <c r="AV14">
        <v>880</v>
      </c>
      <c r="AW14" s="2">
        <f t="shared" si="27"/>
        <v>1760</v>
      </c>
      <c r="AX14" s="2">
        <f t="shared" si="28"/>
        <v>14080</v>
      </c>
      <c r="AY14" s="2">
        <f t="shared" si="29"/>
        <v>3.911111111111111</v>
      </c>
    </row>
    <row r="15" spans="1:51" x14ac:dyDescent="0.3">
      <c r="A15" s="2" t="s">
        <v>19</v>
      </c>
      <c r="B15">
        <v>960</v>
      </c>
      <c r="C15">
        <v>960</v>
      </c>
      <c r="D15" s="2">
        <f t="shared" si="0"/>
        <v>1920</v>
      </c>
      <c r="E15" s="2">
        <f t="shared" si="1"/>
        <v>15360</v>
      </c>
      <c r="F15" s="2">
        <f t="shared" si="2"/>
        <v>4.2666666666666666</v>
      </c>
      <c r="G15">
        <v>1040</v>
      </c>
      <c r="H15">
        <v>1040</v>
      </c>
      <c r="I15" s="2">
        <f t="shared" si="3"/>
        <v>2080</v>
      </c>
      <c r="J15" s="2">
        <f t="shared" si="4"/>
        <v>16640</v>
      </c>
      <c r="K15" s="2">
        <f t="shared" si="5"/>
        <v>4.6222222222222218</v>
      </c>
      <c r="L15">
        <v>1120</v>
      </c>
      <c r="M15">
        <v>1120</v>
      </c>
      <c r="N15" s="2">
        <f t="shared" si="6"/>
        <v>2240</v>
      </c>
      <c r="O15" s="2">
        <f t="shared" si="7"/>
        <v>17920</v>
      </c>
      <c r="P15" s="2">
        <f t="shared" si="8"/>
        <v>4.9777777777777779</v>
      </c>
      <c r="Q15">
        <v>1120</v>
      </c>
      <c r="R15">
        <v>1120</v>
      </c>
      <c r="S15" s="2">
        <f t="shared" si="9"/>
        <v>2240</v>
      </c>
      <c r="T15" s="2">
        <f t="shared" si="10"/>
        <v>17920</v>
      </c>
      <c r="U15" s="2">
        <f t="shared" si="11"/>
        <v>4.9777777777777779</v>
      </c>
      <c r="V15">
        <v>1200</v>
      </c>
      <c r="W15">
        <v>1200</v>
      </c>
      <c r="X15" s="2">
        <f t="shared" si="12"/>
        <v>2400</v>
      </c>
      <c r="Y15" s="2">
        <f t="shared" si="13"/>
        <v>19200</v>
      </c>
      <c r="Z15" s="2">
        <f t="shared" si="14"/>
        <v>5.333333333333333</v>
      </c>
      <c r="AA15">
        <v>1120</v>
      </c>
      <c r="AB15">
        <v>1120</v>
      </c>
      <c r="AC15" s="2">
        <f t="shared" si="15"/>
        <v>2240</v>
      </c>
      <c r="AD15" s="2">
        <f t="shared" si="16"/>
        <v>17920</v>
      </c>
      <c r="AE15" s="2">
        <f t="shared" si="17"/>
        <v>4.9777777777777779</v>
      </c>
      <c r="AF15">
        <v>1120</v>
      </c>
      <c r="AG15">
        <v>1120</v>
      </c>
      <c r="AH15" s="2">
        <f t="shared" si="18"/>
        <v>2240</v>
      </c>
      <c r="AI15" s="2">
        <f t="shared" si="19"/>
        <v>17920</v>
      </c>
      <c r="AJ15" s="2">
        <f t="shared" si="20"/>
        <v>4.9777777777777779</v>
      </c>
      <c r="AK15">
        <v>1120</v>
      </c>
      <c r="AL15">
        <v>1120</v>
      </c>
      <c r="AM15" s="2">
        <f t="shared" si="21"/>
        <v>2240</v>
      </c>
      <c r="AN15" s="2">
        <f t="shared" si="22"/>
        <v>17920</v>
      </c>
      <c r="AO15" s="2">
        <f t="shared" si="23"/>
        <v>4.9777777777777779</v>
      </c>
      <c r="AP15">
        <v>1120</v>
      </c>
      <c r="AQ15">
        <v>1120</v>
      </c>
      <c r="AR15" s="2">
        <f t="shared" si="24"/>
        <v>2240</v>
      </c>
      <c r="AS15" s="2">
        <f t="shared" si="25"/>
        <v>17920</v>
      </c>
      <c r="AT15" s="2">
        <f t="shared" si="26"/>
        <v>4.9777777777777779</v>
      </c>
      <c r="AU15">
        <v>1120</v>
      </c>
      <c r="AV15">
        <v>1120</v>
      </c>
      <c r="AW15" s="2">
        <f t="shared" si="27"/>
        <v>2240</v>
      </c>
      <c r="AX15" s="2">
        <f t="shared" si="28"/>
        <v>17920</v>
      </c>
      <c r="AY15" s="2">
        <f t="shared" si="29"/>
        <v>4.9777777777777779</v>
      </c>
    </row>
    <row r="16" spans="1:51" x14ac:dyDescent="0.3">
      <c r="A16" s="2" t="s">
        <v>20</v>
      </c>
      <c r="B16">
        <v>1120</v>
      </c>
      <c r="C16">
        <v>1120</v>
      </c>
      <c r="D16" s="2">
        <f t="shared" si="0"/>
        <v>2240</v>
      </c>
      <c r="E16" s="2">
        <f t="shared" si="1"/>
        <v>17920</v>
      </c>
      <c r="F16" s="2">
        <f t="shared" si="2"/>
        <v>4.9777777777777779</v>
      </c>
      <c r="G16">
        <v>1120</v>
      </c>
      <c r="H16">
        <v>1120</v>
      </c>
      <c r="I16" s="2">
        <f t="shared" si="3"/>
        <v>2240</v>
      </c>
      <c r="J16" s="2">
        <f t="shared" si="4"/>
        <v>17920</v>
      </c>
      <c r="K16" s="2">
        <f t="shared" si="5"/>
        <v>4.9777777777777779</v>
      </c>
      <c r="L16">
        <v>1120</v>
      </c>
      <c r="M16">
        <v>1120</v>
      </c>
      <c r="N16" s="2">
        <f t="shared" si="6"/>
        <v>2240</v>
      </c>
      <c r="O16" s="2">
        <f t="shared" si="7"/>
        <v>17920</v>
      </c>
      <c r="P16" s="2">
        <f t="shared" si="8"/>
        <v>4.9777777777777779</v>
      </c>
      <c r="Q16">
        <v>880</v>
      </c>
      <c r="R16">
        <v>880</v>
      </c>
      <c r="S16" s="2">
        <f t="shared" si="9"/>
        <v>1760</v>
      </c>
      <c r="T16" s="2">
        <f t="shared" si="10"/>
        <v>14080</v>
      </c>
      <c r="U16" s="2">
        <f t="shared" si="11"/>
        <v>3.911111111111111</v>
      </c>
      <c r="V16">
        <v>1040</v>
      </c>
      <c r="W16">
        <v>1040</v>
      </c>
      <c r="X16" s="2">
        <f t="shared" si="12"/>
        <v>2080</v>
      </c>
      <c r="Y16" s="2">
        <f t="shared" si="13"/>
        <v>16640</v>
      </c>
      <c r="Z16" s="2">
        <f t="shared" si="14"/>
        <v>4.6222222222222218</v>
      </c>
      <c r="AA16">
        <v>720</v>
      </c>
      <c r="AB16">
        <v>720</v>
      </c>
      <c r="AC16" s="2">
        <f t="shared" si="15"/>
        <v>1440</v>
      </c>
      <c r="AD16" s="2">
        <f t="shared" si="16"/>
        <v>11520</v>
      </c>
      <c r="AE16" s="2">
        <f t="shared" si="17"/>
        <v>3.2</v>
      </c>
      <c r="AF16">
        <v>1040</v>
      </c>
      <c r="AG16">
        <v>1040</v>
      </c>
      <c r="AH16" s="2">
        <f t="shared" si="18"/>
        <v>2080</v>
      </c>
      <c r="AI16" s="2">
        <f t="shared" si="19"/>
        <v>16640</v>
      </c>
      <c r="AJ16" s="2">
        <f t="shared" si="20"/>
        <v>4.6222222222222218</v>
      </c>
      <c r="AK16">
        <v>960</v>
      </c>
      <c r="AL16">
        <v>960</v>
      </c>
      <c r="AM16" s="2">
        <f t="shared" si="21"/>
        <v>1920</v>
      </c>
      <c r="AN16" s="2">
        <f t="shared" si="22"/>
        <v>15360</v>
      </c>
      <c r="AO16" s="2">
        <f t="shared" si="23"/>
        <v>4.2666666666666666</v>
      </c>
      <c r="AP16">
        <v>1120</v>
      </c>
      <c r="AQ16">
        <v>1120</v>
      </c>
      <c r="AR16" s="2">
        <f t="shared" si="24"/>
        <v>2240</v>
      </c>
      <c r="AS16" s="2">
        <f t="shared" si="25"/>
        <v>17920</v>
      </c>
      <c r="AT16" s="2">
        <f t="shared" si="26"/>
        <v>4.9777777777777779</v>
      </c>
      <c r="AU16">
        <v>1040</v>
      </c>
      <c r="AV16">
        <v>1040</v>
      </c>
      <c r="AW16" s="2">
        <f t="shared" si="27"/>
        <v>2080</v>
      </c>
      <c r="AX16" s="2">
        <f t="shared" si="28"/>
        <v>16640</v>
      </c>
      <c r="AY16" s="2">
        <f t="shared" si="29"/>
        <v>4.6222222222222218</v>
      </c>
    </row>
    <row r="17" spans="1:51" x14ac:dyDescent="0.3">
      <c r="A17" s="2" t="s">
        <v>21</v>
      </c>
      <c r="B17">
        <v>1120</v>
      </c>
      <c r="C17">
        <v>1120</v>
      </c>
      <c r="D17" s="2">
        <f t="shared" si="0"/>
        <v>2240</v>
      </c>
      <c r="E17" s="2">
        <f t="shared" si="1"/>
        <v>17920</v>
      </c>
      <c r="F17" s="2">
        <f t="shared" si="2"/>
        <v>4.9777777777777779</v>
      </c>
      <c r="G17">
        <v>960</v>
      </c>
      <c r="H17">
        <v>960</v>
      </c>
      <c r="I17" s="2">
        <f t="shared" si="3"/>
        <v>1920</v>
      </c>
      <c r="J17" s="2">
        <f t="shared" si="4"/>
        <v>15360</v>
      </c>
      <c r="K17" s="2">
        <f t="shared" si="5"/>
        <v>4.2666666666666666</v>
      </c>
      <c r="L17">
        <v>1040</v>
      </c>
      <c r="M17">
        <v>1040</v>
      </c>
      <c r="N17" s="2">
        <f t="shared" si="6"/>
        <v>2080</v>
      </c>
      <c r="O17" s="2">
        <f t="shared" si="7"/>
        <v>16640</v>
      </c>
      <c r="P17" s="2">
        <f t="shared" si="8"/>
        <v>4.6222222222222218</v>
      </c>
      <c r="Q17">
        <v>1040</v>
      </c>
      <c r="R17">
        <v>1040</v>
      </c>
      <c r="S17" s="2">
        <f t="shared" si="9"/>
        <v>2080</v>
      </c>
      <c r="T17" s="2">
        <f t="shared" si="10"/>
        <v>16640</v>
      </c>
      <c r="U17" s="2">
        <f t="shared" si="11"/>
        <v>4.6222222222222218</v>
      </c>
      <c r="V17">
        <v>720</v>
      </c>
      <c r="W17">
        <v>720</v>
      </c>
      <c r="X17" s="2">
        <f t="shared" si="12"/>
        <v>1440</v>
      </c>
      <c r="Y17" s="2">
        <f t="shared" si="13"/>
        <v>11520</v>
      </c>
      <c r="Z17" s="2">
        <f t="shared" si="14"/>
        <v>3.2</v>
      </c>
      <c r="AA17">
        <v>960</v>
      </c>
      <c r="AB17">
        <v>960</v>
      </c>
      <c r="AC17" s="2">
        <f t="shared" si="15"/>
        <v>1920</v>
      </c>
      <c r="AD17" s="2">
        <f t="shared" si="16"/>
        <v>15360</v>
      </c>
      <c r="AE17" s="2">
        <f t="shared" si="17"/>
        <v>4.2666666666666666</v>
      </c>
      <c r="AF17">
        <v>880</v>
      </c>
      <c r="AG17">
        <v>880</v>
      </c>
      <c r="AH17" s="2">
        <f t="shared" si="18"/>
        <v>1760</v>
      </c>
      <c r="AI17" s="2">
        <f t="shared" si="19"/>
        <v>14080</v>
      </c>
      <c r="AJ17" s="2">
        <f t="shared" si="20"/>
        <v>3.911111111111111</v>
      </c>
      <c r="AK17">
        <v>1040</v>
      </c>
      <c r="AL17">
        <v>1040</v>
      </c>
      <c r="AM17" s="2">
        <f t="shared" si="21"/>
        <v>2080</v>
      </c>
      <c r="AN17" s="2">
        <f t="shared" si="22"/>
        <v>16640</v>
      </c>
      <c r="AO17" s="2">
        <f t="shared" si="23"/>
        <v>4.6222222222222218</v>
      </c>
      <c r="AP17">
        <v>1040</v>
      </c>
      <c r="AQ17">
        <v>1040</v>
      </c>
      <c r="AR17" s="2">
        <f t="shared" si="24"/>
        <v>2080</v>
      </c>
      <c r="AS17" s="2">
        <f t="shared" si="25"/>
        <v>16640</v>
      </c>
      <c r="AT17" s="2">
        <f t="shared" si="26"/>
        <v>4.6222222222222218</v>
      </c>
      <c r="AU17">
        <v>1120</v>
      </c>
      <c r="AV17">
        <v>1120</v>
      </c>
      <c r="AW17" s="2">
        <f t="shared" si="27"/>
        <v>2240</v>
      </c>
      <c r="AX17" s="2">
        <f t="shared" si="28"/>
        <v>17920</v>
      </c>
      <c r="AY17" s="2">
        <f t="shared" si="29"/>
        <v>4.9777777777777779</v>
      </c>
    </row>
    <row r="18" spans="1:51" x14ac:dyDescent="0.3">
      <c r="A18" s="2" t="s">
        <v>22</v>
      </c>
      <c r="B18">
        <v>800</v>
      </c>
      <c r="C18">
        <v>800</v>
      </c>
      <c r="D18" s="2">
        <f t="shared" si="0"/>
        <v>1600</v>
      </c>
      <c r="E18" s="2">
        <f t="shared" si="1"/>
        <v>12800</v>
      </c>
      <c r="F18" s="2">
        <f t="shared" si="2"/>
        <v>3.5555555555555554</v>
      </c>
      <c r="G18">
        <v>1120</v>
      </c>
      <c r="H18">
        <v>1120</v>
      </c>
      <c r="I18" s="2">
        <f t="shared" si="3"/>
        <v>2240</v>
      </c>
      <c r="J18" s="2">
        <f t="shared" si="4"/>
        <v>17920</v>
      </c>
      <c r="K18" s="2">
        <f t="shared" si="5"/>
        <v>4.9777777777777779</v>
      </c>
      <c r="L18">
        <v>1360</v>
      </c>
      <c r="M18">
        <v>1360</v>
      </c>
      <c r="N18" s="2">
        <f t="shared" si="6"/>
        <v>2720</v>
      </c>
      <c r="O18" s="2">
        <f t="shared" si="7"/>
        <v>21760</v>
      </c>
      <c r="P18" s="2">
        <f t="shared" si="8"/>
        <v>6.0444444444444443</v>
      </c>
      <c r="Q18">
        <v>880</v>
      </c>
      <c r="R18">
        <v>880</v>
      </c>
      <c r="S18" s="2">
        <f t="shared" si="9"/>
        <v>1760</v>
      </c>
      <c r="T18" s="2">
        <f t="shared" si="10"/>
        <v>14080</v>
      </c>
      <c r="U18" s="2">
        <f t="shared" si="11"/>
        <v>3.911111111111111</v>
      </c>
      <c r="V18">
        <v>960</v>
      </c>
      <c r="W18">
        <v>960</v>
      </c>
      <c r="X18" s="2">
        <f t="shared" si="12"/>
        <v>1920</v>
      </c>
      <c r="Y18" s="2">
        <f t="shared" si="13"/>
        <v>15360</v>
      </c>
      <c r="Z18" s="2">
        <f t="shared" si="14"/>
        <v>4.2666666666666666</v>
      </c>
      <c r="AA18">
        <v>1120</v>
      </c>
      <c r="AB18">
        <v>1120</v>
      </c>
      <c r="AC18" s="2">
        <f t="shared" si="15"/>
        <v>2240</v>
      </c>
      <c r="AD18" s="2">
        <f t="shared" si="16"/>
        <v>17920</v>
      </c>
      <c r="AE18" s="2">
        <f t="shared" si="17"/>
        <v>4.9777777777777779</v>
      </c>
      <c r="AF18">
        <v>1200</v>
      </c>
      <c r="AG18">
        <v>1200</v>
      </c>
      <c r="AH18" s="2">
        <f t="shared" si="18"/>
        <v>2400</v>
      </c>
      <c r="AI18" s="2">
        <f t="shared" si="19"/>
        <v>19200</v>
      </c>
      <c r="AJ18" s="2">
        <f t="shared" si="20"/>
        <v>5.333333333333333</v>
      </c>
      <c r="AK18">
        <v>1200</v>
      </c>
      <c r="AL18">
        <v>1200</v>
      </c>
      <c r="AM18" s="2">
        <f t="shared" si="21"/>
        <v>2400</v>
      </c>
      <c r="AN18" s="2">
        <f t="shared" si="22"/>
        <v>19200</v>
      </c>
      <c r="AO18" s="2">
        <f t="shared" si="23"/>
        <v>5.333333333333333</v>
      </c>
      <c r="AP18">
        <v>1040</v>
      </c>
      <c r="AQ18">
        <v>1040</v>
      </c>
      <c r="AR18" s="2">
        <f t="shared" si="24"/>
        <v>2080</v>
      </c>
      <c r="AS18" s="2">
        <f t="shared" si="25"/>
        <v>16640</v>
      </c>
      <c r="AT18" s="2">
        <f t="shared" si="26"/>
        <v>4.6222222222222218</v>
      </c>
      <c r="AU18">
        <v>1120</v>
      </c>
      <c r="AV18">
        <v>1120</v>
      </c>
      <c r="AW18" s="2">
        <f t="shared" si="27"/>
        <v>2240</v>
      </c>
      <c r="AX18" s="2">
        <f t="shared" si="28"/>
        <v>17920</v>
      </c>
      <c r="AY18" s="2">
        <f t="shared" si="29"/>
        <v>4.9777777777777779</v>
      </c>
    </row>
    <row r="19" spans="1:51" x14ac:dyDescent="0.3">
      <c r="A19" s="2" t="s">
        <v>23</v>
      </c>
      <c r="B19">
        <v>1040</v>
      </c>
      <c r="C19">
        <v>1040</v>
      </c>
      <c r="D19" s="2">
        <f t="shared" si="0"/>
        <v>2080</v>
      </c>
      <c r="E19" s="2">
        <f t="shared" si="1"/>
        <v>16640</v>
      </c>
      <c r="F19" s="2">
        <f t="shared" si="2"/>
        <v>4.6222222222222218</v>
      </c>
      <c r="G19">
        <v>960</v>
      </c>
      <c r="H19">
        <v>960</v>
      </c>
      <c r="I19" s="2">
        <f t="shared" si="3"/>
        <v>1920</v>
      </c>
      <c r="J19" s="2">
        <f t="shared" si="4"/>
        <v>15360</v>
      </c>
      <c r="K19" s="2">
        <f t="shared" si="5"/>
        <v>4.2666666666666666</v>
      </c>
      <c r="L19">
        <v>1280</v>
      </c>
      <c r="M19">
        <v>1280</v>
      </c>
      <c r="N19" s="2">
        <f t="shared" si="6"/>
        <v>2560</v>
      </c>
      <c r="O19" s="2">
        <f t="shared" si="7"/>
        <v>20480</v>
      </c>
      <c r="P19" s="2">
        <f t="shared" si="8"/>
        <v>5.6888888888888891</v>
      </c>
      <c r="Q19">
        <v>960</v>
      </c>
      <c r="R19">
        <v>960</v>
      </c>
      <c r="S19" s="2">
        <f t="shared" si="9"/>
        <v>1920</v>
      </c>
      <c r="T19" s="2">
        <f t="shared" si="10"/>
        <v>15360</v>
      </c>
      <c r="U19" s="2">
        <f t="shared" si="11"/>
        <v>4.2666666666666666</v>
      </c>
      <c r="V19">
        <v>1200</v>
      </c>
      <c r="W19">
        <v>1200</v>
      </c>
      <c r="X19" s="2">
        <f t="shared" si="12"/>
        <v>2400</v>
      </c>
      <c r="Y19" s="2">
        <f t="shared" si="13"/>
        <v>19200</v>
      </c>
      <c r="Z19" s="2">
        <f t="shared" si="14"/>
        <v>5.333333333333333</v>
      </c>
      <c r="AA19">
        <v>1040</v>
      </c>
      <c r="AB19">
        <v>1040</v>
      </c>
      <c r="AC19" s="2">
        <f t="shared" si="15"/>
        <v>2080</v>
      </c>
      <c r="AD19" s="2">
        <f t="shared" si="16"/>
        <v>16640</v>
      </c>
      <c r="AE19" s="2">
        <f t="shared" si="17"/>
        <v>4.6222222222222218</v>
      </c>
      <c r="AF19">
        <v>1040</v>
      </c>
      <c r="AG19">
        <v>1040</v>
      </c>
      <c r="AH19" s="2">
        <f t="shared" si="18"/>
        <v>2080</v>
      </c>
      <c r="AI19" s="2">
        <f t="shared" si="19"/>
        <v>16640</v>
      </c>
      <c r="AJ19" s="2">
        <f t="shared" si="20"/>
        <v>4.6222222222222218</v>
      </c>
      <c r="AK19">
        <v>1280</v>
      </c>
      <c r="AL19">
        <v>1280</v>
      </c>
      <c r="AM19" s="2">
        <f t="shared" si="21"/>
        <v>2560</v>
      </c>
      <c r="AN19" s="2">
        <f t="shared" si="22"/>
        <v>20480</v>
      </c>
      <c r="AO19" s="2">
        <f t="shared" si="23"/>
        <v>5.6888888888888891</v>
      </c>
      <c r="AP19">
        <v>1120</v>
      </c>
      <c r="AQ19">
        <v>1120</v>
      </c>
      <c r="AR19" s="2">
        <f t="shared" si="24"/>
        <v>2240</v>
      </c>
      <c r="AS19" s="2">
        <f t="shared" si="25"/>
        <v>17920</v>
      </c>
      <c r="AT19" s="2">
        <f t="shared" si="26"/>
        <v>4.9777777777777779</v>
      </c>
      <c r="AU19">
        <v>1040</v>
      </c>
      <c r="AV19">
        <v>1040</v>
      </c>
      <c r="AW19" s="2">
        <f t="shared" si="27"/>
        <v>2080</v>
      </c>
      <c r="AX19" s="2">
        <f t="shared" si="28"/>
        <v>16640</v>
      </c>
      <c r="AY19" s="2">
        <f t="shared" si="29"/>
        <v>4.6222222222222218</v>
      </c>
    </row>
    <row r="20" spans="1:51" x14ac:dyDescent="0.3">
      <c r="A20" s="2" t="s">
        <v>24</v>
      </c>
      <c r="B20">
        <v>1120</v>
      </c>
      <c r="C20">
        <v>1120</v>
      </c>
      <c r="D20" s="2">
        <f t="shared" si="0"/>
        <v>2240</v>
      </c>
      <c r="E20" s="2">
        <f t="shared" si="1"/>
        <v>17920</v>
      </c>
      <c r="F20" s="2">
        <f t="shared" si="2"/>
        <v>4.9777777777777779</v>
      </c>
      <c r="G20">
        <v>1120</v>
      </c>
      <c r="H20">
        <v>1120</v>
      </c>
      <c r="I20" s="2">
        <f t="shared" si="3"/>
        <v>2240</v>
      </c>
      <c r="J20" s="2">
        <f t="shared" si="4"/>
        <v>17920</v>
      </c>
      <c r="K20" s="2">
        <f t="shared" si="5"/>
        <v>4.9777777777777779</v>
      </c>
      <c r="L20">
        <v>880</v>
      </c>
      <c r="M20">
        <v>880</v>
      </c>
      <c r="N20" s="2">
        <f t="shared" si="6"/>
        <v>1760</v>
      </c>
      <c r="O20" s="2">
        <f t="shared" si="7"/>
        <v>14080</v>
      </c>
      <c r="P20" s="2">
        <f t="shared" si="8"/>
        <v>3.911111111111111</v>
      </c>
      <c r="Q20">
        <v>1200</v>
      </c>
      <c r="R20">
        <v>1200</v>
      </c>
      <c r="S20" s="2">
        <f t="shared" si="9"/>
        <v>2400</v>
      </c>
      <c r="T20" s="2">
        <f t="shared" si="10"/>
        <v>19200</v>
      </c>
      <c r="U20" s="2">
        <f t="shared" si="11"/>
        <v>5.333333333333333</v>
      </c>
      <c r="V20">
        <v>1200</v>
      </c>
      <c r="W20">
        <v>1200</v>
      </c>
      <c r="X20" s="2">
        <f t="shared" si="12"/>
        <v>2400</v>
      </c>
      <c r="Y20" s="2">
        <f t="shared" si="13"/>
        <v>19200</v>
      </c>
      <c r="Z20" s="2">
        <f t="shared" si="14"/>
        <v>5.333333333333333</v>
      </c>
      <c r="AA20">
        <v>1120</v>
      </c>
      <c r="AB20">
        <v>1120</v>
      </c>
      <c r="AC20" s="2">
        <f t="shared" si="15"/>
        <v>2240</v>
      </c>
      <c r="AD20" s="2">
        <f t="shared" si="16"/>
        <v>17920</v>
      </c>
      <c r="AE20" s="2">
        <f t="shared" si="17"/>
        <v>4.9777777777777779</v>
      </c>
      <c r="AF20">
        <v>1040</v>
      </c>
      <c r="AG20">
        <v>1040</v>
      </c>
      <c r="AH20" s="2">
        <f t="shared" si="18"/>
        <v>2080</v>
      </c>
      <c r="AI20" s="2">
        <f t="shared" si="19"/>
        <v>16640</v>
      </c>
      <c r="AJ20" s="2">
        <f t="shared" si="20"/>
        <v>4.6222222222222218</v>
      </c>
      <c r="AK20">
        <v>1040</v>
      </c>
      <c r="AL20">
        <v>1040</v>
      </c>
      <c r="AM20" s="2">
        <f t="shared" si="21"/>
        <v>2080</v>
      </c>
      <c r="AN20" s="2">
        <f t="shared" si="22"/>
        <v>16640</v>
      </c>
      <c r="AO20" s="2">
        <f t="shared" si="23"/>
        <v>4.6222222222222218</v>
      </c>
      <c r="AP20">
        <v>1120</v>
      </c>
      <c r="AQ20">
        <v>1120</v>
      </c>
      <c r="AR20" s="2">
        <f t="shared" si="24"/>
        <v>2240</v>
      </c>
      <c r="AS20" s="2">
        <f t="shared" si="25"/>
        <v>17920</v>
      </c>
      <c r="AT20" s="2">
        <f t="shared" si="26"/>
        <v>4.9777777777777779</v>
      </c>
      <c r="AU20">
        <v>960</v>
      </c>
      <c r="AV20">
        <v>960</v>
      </c>
      <c r="AW20" s="2">
        <f t="shared" si="27"/>
        <v>1920</v>
      </c>
      <c r="AX20" s="2">
        <f t="shared" si="28"/>
        <v>15360</v>
      </c>
      <c r="AY20" s="2">
        <f t="shared" si="29"/>
        <v>4.2666666666666666</v>
      </c>
    </row>
    <row r="21" spans="1:51" x14ac:dyDescent="0.3">
      <c r="A21" s="2" t="s">
        <v>25</v>
      </c>
      <c r="B21">
        <v>1040</v>
      </c>
      <c r="C21">
        <v>1040</v>
      </c>
      <c r="D21" s="2">
        <f t="shared" si="0"/>
        <v>2080</v>
      </c>
      <c r="E21" s="2">
        <f t="shared" si="1"/>
        <v>16640</v>
      </c>
      <c r="F21" s="2">
        <f t="shared" si="2"/>
        <v>4.6222222222222218</v>
      </c>
      <c r="G21">
        <v>1040</v>
      </c>
      <c r="H21">
        <v>1040</v>
      </c>
      <c r="I21" s="2">
        <f t="shared" si="3"/>
        <v>2080</v>
      </c>
      <c r="J21" s="2">
        <f t="shared" si="4"/>
        <v>16640</v>
      </c>
      <c r="K21" s="2">
        <f t="shared" si="5"/>
        <v>4.6222222222222218</v>
      </c>
      <c r="L21">
        <v>1120</v>
      </c>
      <c r="M21">
        <v>1120</v>
      </c>
      <c r="N21" s="2">
        <f t="shared" si="6"/>
        <v>2240</v>
      </c>
      <c r="O21" s="2">
        <f t="shared" si="7"/>
        <v>17920</v>
      </c>
      <c r="P21" s="2">
        <f t="shared" si="8"/>
        <v>4.9777777777777779</v>
      </c>
      <c r="Q21">
        <v>1040</v>
      </c>
      <c r="R21">
        <v>1040</v>
      </c>
      <c r="S21" s="2">
        <f t="shared" si="9"/>
        <v>2080</v>
      </c>
      <c r="T21" s="2">
        <f t="shared" si="10"/>
        <v>16640</v>
      </c>
      <c r="U21" s="2">
        <f t="shared" si="11"/>
        <v>4.6222222222222218</v>
      </c>
      <c r="V21">
        <v>880</v>
      </c>
      <c r="W21">
        <v>880</v>
      </c>
      <c r="X21" s="2">
        <f t="shared" si="12"/>
        <v>1760</v>
      </c>
      <c r="Y21" s="2">
        <f t="shared" si="13"/>
        <v>14080</v>
      </c>
      <c r="Z21" s="2">
        <f t="shared" si="14"/>
        <v>3.911111111111111</v>
      </c>
      <c r="AA21">
        <v>1120</v>
      </c>
      <c r="AB21">
        <v>1120</v>
      </c>
      <c r="AC21" s="2">
        <f t="shared" si="15"/>
        <v>2240</v>
      </c>
      <c r="AD21" s="2">
        <f t="shared" si="16"/>
        <v>17920</v>
      </c>
      <c r="AE21" s="2">
        <f t="shared" si="17"/>
        <v>4.9777777777777779</v>
      </c>
      <c r="AF21">
        <v>1200</v>
      </c>
      <c r="AG21">
        <v>1200</v>
      </c>
      <c r="AH21" s="2">
        <f t="shared" si="18"/>
        <v>2400</v>
      </c>
      <c r="AI21" s="2">
        <f t="shared" si="19"/>
        <v>19200</v>
      </c>
      <c r="AJ21" s="2">
        <f t="shared" si="20"/>
        <v>5.333333333333333</v>
      </c>
      <c r="AK21">
        <v>960</v>
      </c>
      <c r="AL21">
        <v>960</v>
      </c>
      <c r="AM21" s="2">
        <f t="shared" si="21"/>
        <v>1920</v>
      </c>
      <c r="AN21" s="2">
        <f t="shared" si="22"/>
        <v>15360</v>
      </c>
      <c r="AO21" s="2">
        <f t="shared" si="23"/>
        <v>4.2666666666666666</v>
      </c>
      <c r="AP21">
        <v>960</v>
      </c>
      <c r="AQ21">
        <v>960</v>
      </c>
      <c r="AR21" s="2">
        <f t="shared" si="24"/>
        <v>1920</v>
      </c>
      <c r="AS21" s="2">
        <f t="shared" si="25"/>
        <v>15360</v>
      </c>
      <c r="AT21" s="2">
        <f t="shared" si="26"/>
        <v>4.2666666666666666</v>
      </c>
      <c r="AU21">
        <v>1200</v>
      </c>
      <c r="AV21">
        <v>1200</v>
      </c>
      <c r="AW21" s="2">
        <f t="shared" si="27"/>
        <v>2400</v>
      </c>
      <c r="AX21" s="2">
        <f t="shared" si="28"/>
        <v>19200</v>
      </c>
      <c r="AY21" s="2">
        <f t="shared" si="29"/>
        <v>5.333333333333333</v>
      </c>
    </row>
    <row r="22" spans="1:51" x14ac:dyDescent="0.3">
      <c r="A22" s="2" t="s">
        <v>26</v>
      </c>
      <c r="B22">
        <v>1120</v>
      </c>
      <c r="C22">
        <v>1120</v>
      </c>
      <c r="D22" s="2">
        <f t="shared" si="0"/>
        <v>2240</v>
      </c>
      <c r="E22" s="2">
        <f t="shared" si="1"/>
        <v>17920</v>
      </c>
      <c r="F22" s="2">
        <f t="shared" si="2"/>
        <v>4.9777777777777779</v>
      </c>
      <c r="G22">
        <v>1040</v>
      </c>
      <c r="H22">
        <v>1040</v>
      </c>
      <c r="I22" s="2">
        <f t="shared" si="3"/>
        <v>2080</v>
      </c>
      <c r="J22" s="2">
        <f t="shared" si="4"/>
        <v>16640</v>
      </c>
      <c r="K22" s="2">
        <f t="shared" si="5"/>
        <v>4.6222222222222218</v>
      </c>
      <c r="L22">
        <v>1200</v>
      </c>
      <c r="M22">
        <v>1200</v>
      </c>
      <c r="N22" s="2">
        <f t="shared" si="6"/>
        <v>2400</v>
      </c>
      <c r="O22" s="2">
        <f t="shared" si="7"/>
        <v>19200</v>
      </c>
      <c r="P22" s="2">
        <f t="shared" si="8"/>
        <v>5.333333333333333</v>
      </c>
      <c r="Q22">
        <v>1040</v>
      </c>
      <c r="R22">
        <v>1040</v>
      </c>
      <c r="S22" s="2">
        <f t="shared" si="9"/>
        <v>2080</v>
      </c>
      <c r="T22" s="2">
        <f t="shared" si="10"/>
        <v>16640</v>
      </c>
      <c r="U22" s="2">
        <f t="shared" si="11"/>
        <v>4.6222222222222218</v>
      </c>
      <c r="V22">
        <v>1040</v>
      </c>
      <c r="W22">
        <v>1040</v>
      </c>
      <c r="X22" s="2">
        <f t="shared" si="12"/>
        <v>2080</v>
      </c>
      <c r="Y22" s="2">
        <f t="shared" si="13"/>
        <v>16640</v>
      </c>
      <c r="Z22" s="2">
        <f t="shared" si="14"/>
        <v>4.6222222222222218</v>
      </c>
      <c r="AA22">
        <v>1120</v>
      </c>
      <c r="AB22">
        <v>1120</v>
      </c>
      <c r="AC22" s="2">
        <f t="shared" si="15"/>
        <v>2240</v>
      </c>
      <c r="AD22" s="2">
        <f t="shared" si="16"/>
        <v>17920</v>
      </c>
      <c r="AE22" s="2">
        <f t="shared" si="17"/>
        <v>4.9777777777777779</v>
      </c>
      <c r="AF22">
        <v>1120</v>
      </c>
      <c r="AG22">
        <v>1120</v>
      </c>
      <c r="AH22" s="2">
        <f t="shared" si="18"/>
        <v>2240</v>
      </c>
      <c r="AI22" s="2">
        <f t="shared" si="19"/>
        <v>17920</v>
      </c>
      <c r="AJ22" s="2">
        <f t="shared" si="20"/>
        <v>4.9777777777777779</v>
      </c>
      <c r="AK22">
        <v>960</v>
      </c>
      <c r="AL22">
        <v>960</v>
      </c>
      <c r="AM22" s="2">
        <f t="shared" si="21"/>
        <v>1920</v>
      </c>
      <c r="AN22" s="2">
        <f t="shared" si="22"/>
        <v>15360</v>
      </c>
      <c r="AO22" s="2">
        <f t="shared" si="23"/>
        <v>4.2666666666666666</v>
      </c>
      <c r="AP22">
        <v>880</v>
      </c>
      <c r="AQ22">
        <v>880</v>
      </c>
      <c r="AR22" s="2">
        <f t="shared" si="24"/>
        <v>1760</v>
      </c>
      <c r="AS22" s="2">
        <f t="shared" si="25"/>
        <v>14080</v>
      </c>
      <c r="AT22" s="2">
        <f t="shared" si="26"/>
        <v>3.911111111111111</v>
      </c>
      <c r="AU22">
        <v>1200</v>
      </c>
      <c r="AV22">
        <v>1200</v>
      </c>
      <c r="AW22" s="2">
        <f t="shared" si="27"/>
        <v>2400</v>
      </c>
      <c r="AX22" s="2">
        <f t="shared" si="28"/>
        <v>19200</v>
      </c>
      <c r="AY22" s="2">
        <f t="shared" si="29"/>
        <v>5.333333333333333</v>
      </c>
    </row>
    <row r="23" spans="1:51" x14ac:dyDescent="0.3">
      <c r="A23" s="2" t="s">
        <v>27</v>
      </c>
      <c r="B23">
        <v>880</v>
      </c>
      <c r="C23">
        <v>880</v>
      </c>
      <c r="D23" s="2">
        <f t="shared" si="0"/>
        <v>1760</v>
      </c>
      <c r="E23" s="2">
        <f t="shared" si="1"/>
        <v>14080</v>
      </c>
      <c r="F23" s="2">
        <f t="shared" si="2"/>
        <v>3.911111111111111</v>
      </c>
      <c r="G23">
        <v>800</v>
      </c>
      <c r="H23">
        <v>800</v>
      </c>
      <c r="I23" s="2">
        <f t="shared" si="3"/>
        <v>1600</v>
      </c>
      <c r="J23" s="2">
        <f t="shared" si="4"/>
        <v>12800</v>
      </c>
      <c r="K23" s="2">
        <f t="shared" si="5"/>
        <v>3.5555555555555554</v>
      </c>
      <c r="L23">
        <v>1040</v>
      </c>
      <c r="M23">
        <v>1040</v>
      </c>
      <c r="N23" s="2">
        <f t="shared" si="6"/>
        <v>2080</v>
      </c>
      <c r="O23" s="2">
        <f t="shared" si="7"/>
        <v>16640</v>
      </c>
      <c r="P23" s="2">
        <f t="shared" si="8"/>
        <v>4.6222222222222218</v>
      </c>
      <c r="Q23">
        <v>960</v>
      </c>
      <c r="R23">
        <v>960</v>
      </c>
      <c r="S23" s="2">
        <f t="shared" si="9"/>
        <v>1920</v>
      </c>
      <c r="T23" s="2">
        <f t="shared" si="10"/>
        <v>15360</v>
      </c>
      <c r="U23" s="2">
        <f t="shared" si="11"/>
        <v>4.2666666666666666</v>
      </c>
      <c r="V23">
        <v>880</v>
      </c>
      <c r="W23">
        <v>880</v>
      </c>
      <c r="X23" s="2">
        <f t="shared" si="12"/>
        <v>1760</v>
      </c>
      <c r="Y23" s="2">
        <f t="shared" si="13"/>
        <v>14080</v>
      </c>
      <c r="Z23" s="2">
        <f t="shared" si="14"/>
        <v>3.911111111111111</v>
      </c>
      <c r="AA23">
        <v>960</v>
      </c>
      <c r="AB23">
        <v>960</v>
      </c>
      <c r="AC23" s="2">
        <f t="shared" si="15"/>
        <v>1920</v>
      </c>
      <c r="AD23" s="2">
        <f t="shared" si="16"/>
        <v>15360</v>
      </c>
      <c r="AE23" s="2">
        <f t="shared" si="17"/>
        <v>4.2666666666666666</v>
      </c>
      <c r="AF23">
        <v>960</v>
      </c>
      <c r="AG23">
        <v>960</v>
      </c>
      <c r="AH23" s="2">
        <f t="shared" si="18"/>
        <v>1920</v>
      </c>
      <c r="AI23" s="2">
        <f t="shared" si="19"/>
        <v>15360</v>
      </c>
      <c r="AJ23" s="2">
        <f t="shared" si="20"/>
        <v>4.2666666666666666</v>
      </c>
      <c r="AK23">
        <v>1040</v>
      </c>
      <c r="AL23">
        <v>1040</v>
      </c>
      <c r="AM23" s="2">
        <f t="shared" si="21"/>
        <v>2080</v>
      </c>
      <c r="AN23" s="2">
        <f t="shared" si="22"/>
        <v>16640</v>
      </c>
      <c r="AO23" s="2">
        <f t="shared" si="23"/>
        <v>4.6222222222222218</v>
      </c>
      <c r="AP23">
        <v>880</v>
      </c>
      <c r="AQ23">
        <v>880</v>
      </c>
      <c r="AR23" s="2">
        <f t="shared" si="24"/>
        <v>1760</v>
      </c>
      <c r="AS23" s="2">
        <f t="shared" si="25"/>
        <v>14080</v>
      </c>
      <c r="AT23" s="2">
        <f t="shared" si="26"/>
        <v>3.911111111111111</v>
      </c>
      <c r="AU23">
        <v>1280</v>
      </c>
      <c r="AV23">
        <v>1280</v>
      </c>
      <c r="AW23" s="2">
        <f t="shared" si="27"/>
        <v>2560</v>
      </c>
      <c r="AX23" s="2">
        <f t="shared" si="28"/>
        <v>20480</v>
      </c>
      <c r="AY23" s="2">
        <f t="shared" si="29"/>
        <v>5.6888888888888891</v>
      </c>
    </row>
    <row r="24" spans="1:51" x14ac:dyDescent="0.3">
      <c r="A24" s="2" t="s">
        <v>28</v>
      </c>
      <c r="B24">
        <v>1120</v>
      </c>
      <c r="C24">
        <v>1120</v>
      </c>
      <c r="D24" s="2">
        <f t="shared" si="0"/>
        <v>2240</v>
      </c>
      <c r="E24" s="2">
        <f t="shared" si="1"/>
        <v>17920</v>
      </c>
      <c r="F24" s="2">
        <f t="shared" si="2"/>
        <v>4.9777777777777779</v>
      </c>
      <c r="G24">
        <v>960</v>
      </c>
      <c r="H24">
        <v>960</v>
      </c>
      <c r="I24" s="2">
        <f t="shared" si="3"/>
        <v>1920</v>
      </c>
      <c r="J24" s="2">
        <f t="shared" si="4"/>
        <v>15360</v>
      </c>
      <c r="K24" s="2">
        <f t="shared" si="5"/>
        <v>4.2666666666666666</v>
      </c>
      <c r="L24">
        <v>880</v>
      </c>
      <c r="M24">
        <v>880</v>
      </c>
      <c r="N24" s="2">
        <f t="shared" si="6"/>
        <v>1760</v>
      </c>
      <c r="O24" s="2">
        <f t="shared" si="7"/>
        <v>14080</v>
      </c>
      <c r="P24" s="2">
        <f t="shared" si="8"/>
        <v>3.911111111111111</v>
      </c>
      <c r="Q24">
        <v>1120</v>
      </c>
      <c r="R24">
        <v>1120</v>
      </c>
      <c r="S24" s="2">
        <f t="shared" si="9"/>
        <v>2240</v>
      </c>
      <c r="T24" s="2">
        <f t="shared" si="10"/>
        <v>17920</v>
      </c>
      <c r="U24" s="2">
        <f t="shared" si="11"/>
        <v>4.9777777777777779</v>
      </c>
      <c r="V24">
        <v>960</v>
      </c>
      <c r="W24">
        <v>960</v>
      </c>
      <c r="X24" s="2">
        <f t="shared" si="12"/>
        <v>1920</v>
      </c>
      <c r="Y24" s="2">
        <f t="shared" si="13"/>
        <v>15360</v>
      </c>
      <c r="Z24" s="2">
        <f t="shared" si="14"/>
        <v>4.2666666666666666</v>
      </c>
      <c r="AA24">
        <v>960</v>
      </c>
      <c r="AB24">
        <v>960</v>
      </c>
      <c r="AC24" s="2">
        <f t="shared" si="15"/>
        <v>1920</v>
      </c>
      <c r="AD24" s="2">
        <f t="shared" si="16"/>
        <v>15360</v>
      </c>
      <c r="AE24" s="2">
        <f t="shared" si="17"/>
        <v>4.2666666666666666</v>
      </c>
      <c r="AF24">
        <v>1200</v>
      </c>
      <c r="AG24">
        <v>1200</v>
      </c>
      <c r="AH24" s="2">
        <f t="shared" si="18"/>
        <v>2400</v>
      </c>
      <c r="AI24" s="2">
        <f t="shared" si="19"/>
        <v>19200</v>
      </c>
      <c r="AJ24" s="2">
        <f t="shared" si="20"/>
        <v>5.333333333333333</v>
      </c>
      <c r="AK24">
        <v>1040</v>
      </c>
      <c r="AL24">
        <v>1040</v>
      </c>
      <c r="AM24" s="2">
        <f t="shared" si="21"/>
        <v>2080</v>
      </c>
      <c r="AN24" s="2">
        <f t="shared" si="22"/>
        <v>16640</v>
      </c>
      <c r="AO24" s="2">
        <f t="shared" si="23"/>
        <v>4.6222222222222218</v>
      </c>
      <c r="AP24">
        <v>1200</v>
      </c>
      <c r="AQ24">
        <v>1200</v>
      </c>
      <c r="AR24" s="2">
        <f t="shared" si="24"/>
        <v>2400</v>
      </c>
      <c r="AS24" s="2">
        <f t="shared" si="25"/>
        <v>19200</v>
      </c>
      <c r="AT24" s="2">
        <f t="shared" si="26"/>
        <v>5.333333333333333</v>
      </c>
      <c r="AU24">
        <v>880</v>
      </c>
      <c r="AV24">
        <v>880</v>
      </c>
      <c r="AW24" s="2">
        <f t="shared" si="27"/>
        <v>1760</v>
      </c>
      <c r="AX24" s="2">
        <f t="shared" si="28"/>
        <v>14080</v>
      </c>
      <c r="AY24" s="2">
        <f t="shared" si="29"/>
        <v>3.911111111111111</v>
      </c>
    </row>
    <row r="25" spans="1:51" x14ac:dyDescent="0.3">
      <c r="A25" s="2" t="s">
        <v>29</v>
      </c>
      <c r="B25">
        <v>1040</v>
      </c>
      <c r="C25">
        <v>1040</v>
      </c>
      <c r="D25" s="2">
        <f t="shared" si="0"/>
        <v>2080</v>
      </c>
      <c r="E25" s="2">
        <f t="shared" si="1"/>
        <v>16640</v>
      </c>
      <c r="F25" s="2">
        <f t="shared" si="2"/>
        <v>4.6222222222222218</v>
      </c>
      <c r="G25">
        <v>880</v>
      </c>
      <c r="H25">
        <v>880</v>
      </c>
      <c r="I25" s="2">
        <f t="shared" si="3"/>
        <v>1760</v>
      </c>
      <c r="J25" s="2">
        <f t="shared" si="4"/>
        <v>14080</v>
      </c>
      <c r="K25" s="2">
        <f t="shared" si="5"/>
        <v>3.911111111111111</v>
      </c>
      <c r="L25">
        <v>960</v>
      </c>
      <c r="M25">
        <v>960</v>
      </c>
      <c r="N25" s="2">
        <f t="shared" si="6"/>
        <v>1920</v>
      </c>
      <c r="O25" s="2">
        <f t="shared" si="7"/>
        <v>15360</v>
      </c>
      <c r="P25" s="2">
        <f t="shared" si="8"/>
        <v>4.2666666666666666</v>
      </c>
      <c r="Q25">
        <v>1040</v>
      </c>
      <c r="R25">
        <v>1040</v>
      </c>
      <c r="S25" s="2">
        <f t="shared" si="9"/>
        <v>2080</v>
      </c>
      <c r="T25" s="2">
        <f t="shared" si="10"/>
        <v>16640</v>
      </c>
      <c r="U25" s="2">
        <f t="shared" si="11"/>
        <v>4.6222222222222218</v>
      </c>
      <c r="V25">
        <v>960</v>
      </c>
      <c r="W25">
        <v>960</v>
      </c>
      <c r="X25" s="2">
        <f t="shared" si="12"/>
        <v>1920</v>
      </c>
      <c r="Y25" s="2">
        <f t="shared" si="13"/>
        <v>15360</v>
      </c>
      <c r="Z25" s="2">
        <f t="shared" si="14"/>
        <v>4.2666666666666666</v>
      </c>
      <c r="AA25">
        <v>880</v>
      </c>
      <c r="AB25">
        <v>880</v>
      </c>
      <c r="AC25" s="2">
        <f t="shared" si="15"/>
        <v>1760</v>
      </c>
      <c r="AD25" s="2">
        <f t="shared" si="16"/>
        <v>14080</v>
      </c>
      <c r="AE25" s="2">
        <f t="shared" si="17"/>
        <v>3.911111111111111</v>
      </c>
      <c r="AF25">
        <v>960</v>
      </c>
      <c r="AG25">
        <v>960</v>
      </c>
      <c r="AH25" s="2">
        <f t="shared" si="18"/>
        <v>1920</v>
      </c>
      <c r="AI25" s="2">
        <f t="shared" si="19"/>
        <v>15360</v>
      </c>
      <c r="AJ25" s="2">
        <f t="shared" si="20"/>
        <v>4.2666666666666666</v>
      </c>
      <c r="AK25">
        <v>960</v>
      </c>
      <c r="AL25">
        <v>960</v>
      </c>
      <c r="AM25" s="2">
        <f t="shared" si="21"/>
        <v>1920</v>
      </c>
      <c r="AN25" s="2">
        <f t="shared" si="22"/>
        <v>15360</v>
      </c>
      <c r="AO25" s="2">
        <f t="shared" si="23"/>
        <v>4.2666666666666666</v>
      </c>
      <c r="AP25">
        <v>1120</v>
      </c>
      <c r="AQ25">
        <v>1120</v>
      </c>
      <c r="AR25" s="2">
        <f t="shared" si="24"/>
        <v>2240</v>
      </c>
      <c r="AS25" s="2">
        <f t="shared" si="25"/>
        <v>17920</v>
      </c>
      <c r="AT25" s="2">
        <f t="shared" si="26"/>
        <v>4.9777777777777779</v>
      </c>
      <c r="AU25">
        <v>880</v>
      </c>
      <c r="AV25">
        <v>880</v>
      </c>
      <c r="AW25" s="2">
        <f t="shared" si="27"/>
        <v>1760</v>
      </c>
      <c r="AX25" s="2">
        <f t="shared" si="28"/>
        <v>14080</v>
      </c>
      <c r="AY25" s="2">
        <f t="shared" si="29"/>
        <v>3.911111111111111</v>
      </c>
    </row>
    <row r="26" spans="1:51" x14ac:dyDescent="0.3">
      <c r="A26" s="2" t="s">
        <v>30</v>
      </c>
      <c r="B26">
        <v>720</v>
      </c>
      <c r="C26">
        <v>720</v>
      </c>
      <c r="D26" s="2">
        <f t="shared" si="0"/>
        <v>1440</v>
      </c>
      <c r="E26" s="2">
        <f t="shared" si="1"/>
        <v>11520</v>
      </c>
      <c r="F26" s="2">
        <f t="shared" si="2"/>
        <v>3.2</v>
      </c>
      <c r="G26">
        <v>1040</v>
      </c>
      <c r="H26">
        <v>1040</v>
      </c>
      <c r="I26" s="2">
        <f t="shared" si="3"/>
        <v>2080</v>
      </c>
      <c r="J26" s="2">
        <f t="shared" si="4"/>
        <v>16640</v>
      </c>
      <c r="K26" s="2">
        <f t="shared" si="5"/>
        <v>4.6222222222222218</v>
      </c>
      <c r="L26">
        <v>1280</v>
      </c>
      <c r="M26">
        <v>1280</v>
      </c>
      <c r="N26" s="2">
        <f t="shared" si="6"/>
        <v>2560</v>
      </c>
      <c r="O26" s="2">
        <f t="shared" si="7"/>
        <v>20480</v>
      </c>
      <c r="P26" s="2">
        <f t="shared" si="8"/>
        <v>5.6888888888888891</v>
      </c>
      <c r="Q26">
        <v>880</v>
      </c>
      <c r="R26">
        <v>880</v>
      </c>
      <c r="S26" s="2">
        <f t="shared" si="9"/>
        <v>1760</v>
      </c>
      <c r="T26" s="2">
        <f t="shared" si="10"/>
        <v>14080</v>
      </c>
      <c r="U26" s="2">
        <f t="shared" si="11"/>
        <v>3.911111111111111</v>
      </c>
      <c r="V26">
        <v>1040</v>
      </c>
      <c r="W26">
        <v>1040</v>
      </c>
      <c r="X26" s="2">
        <f t="shared" si="12"/>
        <v>2080</v>
      </c>
      <c r="Y26" s="2">
        <f t="shared" si="13"/>
        <v>16640</v>
      </c>
      <c r="Z26" s="2">
        <f t="shared" si="14"/>
        <v>4.6222222222222218</v>
      </c>
      <c r="AA26">
        <v>1120</v>
      </c>
      <c r="AB26">
        <v>1120</v>
      </c>
      <c r="AC26" s="2">
        <f t="shared" si="15"/>
        <v>2240</v>
      </c>
      <c r="AD26" s="2">
        <f t="shared" si="16"/>
        <v>17920</v>
      </c>
      <c r="AE26" s="2">
        <f t="shared" si="17"/>
        <v>4.9777777777777779</v>
      </c>
      <c r="AF26">
        <v>1040</v>
      </c>
      <c r="AG26">
        <v>1040</v>
      </c>
      <c r="AH26" s="2">
        <f t="shared" si="18"/>
        <v>2080</v>
      </c>
      <c r="AI26" s="2">
        <f t="shared" si="19"/>
        <v>16640</v>
      </c>
      <c r="AJ26" s="2">
        <f t="shared" si="20"/>
        <v>4.6222222222222218</v>
      </c>
      <c r="AK26">
        <v>1040</v>
      </c>
      <c r="AL26">
        <v>1040</v>
      </c>
      <c r="AM26" s="2">
        <f t="shared" si="21"/>
        <v>2080</v>
      </c>
      <c r="AN26" s="2">
        <f t="shared" si="22"/>
        <v>16640</v>
      </c>
      <c r="AO26" s="2">
        <f t="shared" si="23"/>
        <v>4.6222222222222218</v>
      </c>
      <c r="AP26">
        <v>1200</v>
      </c>
      <c r="AQ26">
        <v>1200</v>
      </c>
      <c r="AR26" s="2">
        <f t="shared" si="24"/>
        <v>2400</v>
      </c>
      <c r="AS26" s="2">
        <f t="shared" si="25"/>
        <v>19200</v>
      </c>
      <c r="AT26" s="2">
        <f t="shared" si="26"/>
        <v>5.333333333333333</v>
      </c>
      <c r="AU26">
        <v>1120</v>
      </c>
      <c r="AV26">
        <v>1120</v>
      </c>
      <c r="AW26" s="2">
        <f t="shared" si="27"/>
        <v>2240</v>
      </c>
      <c r="AX26" s="2">
        <f t="shared" si="28"/>
        <v>17920</v>
      </c>
      <c r="AY26" s="2">
        <f t="shared" si="29"/>
        <v>4.9777777777777779</v>
      </c>
    </row>
    <row r="27" spans="1:51" x14ac:dyDescent="0.3">
      <c r="A27" s="2" t="s">
        <v>31</v>
      </c>
      <c r="B27">
        <v>800</v>
      </c>
      <c r="C27">
        <v>800</v>
      </c>
      <c r="D27" s="2">
        <f t="shared" si="0"/>
        <v>1600</v>
      </c>
      <c r="E27" s="2">
        <f t="shared" si="1"/>
        <v>12800</v>
      </c>
      <c r="F27" s="2">
        <f t="shared" si="2"/>
        <v>3.5555555555555554</v>
      </c>
      <c r="G27">
        <v>1040</v>
      </c>
      <c r="H27">
        <v>1040</v>
      </c>
      <c r="I27" s="2">
        <f t="shared" si="3"/>
        <v>2080</v>
      </c>
      <c r="J27" s="2">
        <f t="shared" si="4"/>
        <v>16640</v>
      </c>
      <c r="K27" s="2">
        <f t="shared" si="5"/>
        <v>4.6222222222222218</v>
      </c>
      <c r="L27">
        <v>1040</v>
      </c>
      <c r="M27">
        <v>1040</v>
      </c>
      <c r="N27" s="2">
        <f t="shared" si="6"/>
        <v>2080</v>
      </c>
      <c r="O27" s="2">
        <f t="shared" si="7"/>
        <v>16640</v>
      </c>
      <c r="P27" s="2">
        <f t="shared" si="8"/>
        <v>4.6222222222222218</v>
      </c>
      <c r="Q27">
        <v>960</v>
      </c>
      <c r="R27">
        <v>960</v>
      </c>
      <c r="S27" s="2">
        <f t="shared" si="9"/>
        <v>1920</v>
      </c>
      <c r="T27" s="2">
        <f t="shared" si="10"/>
        <v>15360</v>
      </c>
      <c r="U27" s="2">
        <f t="shared" si="11"/>
        <v>4.2666666666666666</v>
      </c>
      <c r="V27">
        <v>960</v>
      </c>
      <c r="W27">
        <v>960</v>
      </c>
      <c r="X27" s="2">
        <f t="shared" si="12"/>
        <v>1920</v>
      </c>
      <c r="Y27" s="2">
        <f t="shared" si="13"/>
        <v>15360</v>
      </c>
      <c r="Z27" s="2">
        <f t="shared" si="14"/>
        <v>4.2666666666666666</v>
      </c>
      <c r="AA27">
        <v>1040</v>
      </c>
      <c r="AB27">
        <v>1040</v>
      </c>
      <c r="AC27" s="2">
        <f t="shared" si="15"/>
        <v>2080</v>
      </c>
      <c r="AD27" s="2">
        <f t="shared" si="16"/>
        <v>16640</v>
      </c>
      <c r="AE27" s="2">
        <f t="shared" si="17"/>
        <v>4.6222222222222218</v>
      </c>
      <c r="AF27">
        <v>960</v>
      </c>
      <c r="AG27">
        <v>960</v>
      </c>
      <c r="AH27" s="2">
        <f t="shared" si="18"/>
        <v>1920</v>
      </c>
      <c r="AI27" s="2">
        <f t="shared" si="19"/>
        <v>15360</v>
      </c>
      <c r="AJ27" s="2">
        <f t="shared" si="20"/>
        <v>4.2666666666666666</v>
      </c>
      <c r="AK27">
        <v>1040</v>
      </c>
      <c r="AL27">
        <v>1040</v>
      </c>
      <c r="AM27" s="2">
        <f t="shared" si="21"/>
        <v>2080</v>
      </c>
      <c r="AN27" s="2">
        <f t="shared" si="22"/>
        <v>16640</v>
      </c>
      <c r="AO27" s="2">
        <f t="shared" si="23"/>
        <v>4.6222222222222218</v>
      </c>
      <c r="AP27">
        <v>1200</v>
      </c>
      <c r="AQ27">
        <v>1200</v>
      </c>
      <c r="AR27" s="2">
        <f t="shared" si="24"/>
        <v>2400</v>
      </c>
      <c r="AS27" s="2">
        <f t="shared" si="25"/>
        <v>19200</v>
      </c>
      <c r="AT27" s="2">
        <f t="shared" si="26"/>
        <v>5.333333333333333</v>
      </c>
      <c r="AU27">
        <v>960</v>
      </c>
      <c r="AV27">
        <v>960</v>
      </c>
      <c r="AW27" s="2">
        <f t="shared" si="27"/>
        <v>1920</v>
      </c>
      <c r="AX27" s="2">
        <f t="shared" si="28"/>
        <v>15360</v>
      </c>
      <c r="AY27" s="2">
        <f t="shared" si="29"/>
        <v>4.2666666666666666</v>
      </c>
    </row>
    <row r="28" spans="1:51" x14ac:dyDescent="0.3">
      <c r="A28" s="2" t="s">
        <v>32</v>
      </c>
      <c r="B28">
        <v>1120</v>
      </c>
      <c r="C28">
        <v>1120</v>
      </c>
      <c r="D28" s="2">
        <f t="shared" si="0"/>
        <v>2240</v>
      </c>
      <c r="E28" s="2">
        <f t="shared" si="1"/>
        <v>17920</v>
      </c>
      <c r="F28" s="2">
        <f t="shared" si="2"/>
        <v>4.9777777777777779</v>
      </c>
      <c r="G28">
        <v>1040</v>
      </c>
      <c r="H28">
        <v>1040</v>
      </c>
      <c r="I28" s="2">
        <f t="shared" si="3"/>
        <v>2080</v>
      </c>
      <c r="J28" s="2">
        <f t="shared" si="4"/>
        <v>16640</v>
      </c>
      <c r="K28" s="2">
        <f t="shared" si="5"/>
        <v>4.6222222222222218</v>
      </c>
      <c r="L28">
        <v>1120</v>
      </c>
      <c r="M28">
        <v>1120</v>
      </c>
      <c r="N28" s="2">
        <f t="shared" si="6"/>
        <v>2240</v>
      </c>
      <c r="O28" s="2">
        <f t="shared" si="7"/>
        <v>17920</v>
      </c>
      <c r="P28" s="2">
        <f t="shared" si="8"/>
        <v>4.9777777777777779</v>
      </c>
      <c r="Q28">
        <v>1200</v>
      </c>
      <c r="R28">
        <v>1200</v>
      </c>
      <c r="S28" s="2">
        <f t="shared" si="9"/>
        <v>2400</v>
      </c>
      <c r="T28" s="2">
        <f t="shared" si="10"/>
        <v>19200</v>
      </c>
      <c r="U28" s="2">
        <f t="shared" si="11"/>
        <v>5.333333333333333</v>
      </c>
      <c r="V28">
        <v>1120</v>
      </c>
      <c r="W28">
        <v>1120</v>
      </c>
      <c r="X28" s="2">
        <f t="shared" si="12"/>
        <v>2240</v>
      </c>
      <c r="Y28" s="2">
        <f t="shared" si="13"/>
        <v>17920</v>
      </c>
      <c r="Z28" s="2">
        <f t="shared" si="14"/>
        <v>4.9777777777777779</v>
      </c>
      <c r="AA28">
        <v>880</v>
      </c>
      <c r="AB28">
        <v>880</v>
      </c>
      <c r="AC28" s="2">
        <f t="shared" si="15"/>
        <v>1760</v>
      </c>
      <c r="AD28" s="2">
        <f t="shared" si="16"/>
        <v>14080</v>
      </c>
      <c r="AE28" s="2">
        <f t="shared" si="17"/>
        <v>3.911111111111111</v>
      </c>
      <c r="AF28">
        <v>960</v>
      </c>
      <c r="AG28">
        <v>960</v>
      </c>
      <c r="AH28" s="2">
        <f t="shared" si="18"/>
        <v>1920</v>
      </c>
      <c r="AI28" s="2">
        <f t="shared" si="19"/>
        <v>15360</v>
      </c>
      <c r="AJ28" s="2">
        <f t="shared" si="20"/>
        <v>4.2666666666666666</v>
      </c>
      <c r="AK28">
        <v>1040</v>
      </c>
      <c r="AL28">
        <v>1040</v>
      </c>
      <c r="AM28" s="2">
        <f t="shared" si="21"/>
        <v>2080</v>
      </c>
      <c r="AN28" s="2">
        <f t="shared" si="22"/>
        <v>16640</v>
      </c>
      <c r="AO28" s="2">
        <f t="shared" si="23"/>
        <v>4.6222222222222218</v>
      </c>
      <c r="AP28">
        <v>1120</v>
      </c>
      <c r="AQ28">
        <v>1120</v>
      </c>
      <c r="AR28" s="2">
        <f t="shared" si="24"/>
        <v>2240</v>
      </c>
      <c r="AS28" s="2">
        <f t="shared" si="25"/>
        <v>17920</v>
      </c>
      <c r="AT28" s="2">
        <f t="shared" si="26"/>
        <v>4.9777777777777779</v>
      </c>
      <c r="AU28">
        <v>1040</v>
      </c>
      <c r="AV28">
        <v>1040</v>
      </c>
      <c r="AW28" s="2">
        <f t="shared" si="27"/>
        <v>2080</v>
      </c>
      <c r="AX28" s="2">
        <f t="shared" si="28"/>
        <v>16640</v>
      </c>
      <c r="AY28" s="2">
        <f t="shared" si="29"/>
        <v>4.6222222222222218</v>
      </c>
    </row>
    <row r="29" spans="1:51" x14ac:dyDescent="0.3">
      <c r="A29" s="2" t="s">
        <v>33</v>
      </c>
      <c r="B29">
        <v>1040</v>
      </c>
      <c r="C29">
        <v>1040</v>
      </c>
      <c r="D29" s="2">
        <f t="shared" si="0"/>
        <v>2080</v>
      </c>
      <c r="E29" s="2">
        <f t="shared" si="1"/>
        <v>16640</v>
      </c>
      <c r="F29" s="2">
        <f t="shared" si="2"/>
        <v>4.6222222222222218</v>
      </c>
      <c r="G29">
        <v>960</v>
      </c>
      <c r="H29">
        <v>960</v>
      </c>
      <c r="I29" s="2">
        <f t="shared" si="3"/>
        <v>1920</v>
      </c>
      <c r="J29" s="2">
        <f t="shared" si="4"/>
        <v>15360</v>
      </c>
      <c r="K29" s="2">
        <f t="shared" si="5"/>
        <v>4.2666666666666666</v>
      </c>
      <c r="L29">
        <v>1120</v>
      </c>
      <c r="M29">
        <v>1120</v>
      </c>
      <c r="N29" s="2">
        <f t="shared" si="6"/>
        <v>2240</v>
      </c>
      <c r="O29" s="2">
        <f t="shared" si="7"/>
        <v>17920</v>
      </c>
      <c r="P29" s="2">
        <f t="shared" si="8"/>
        <v>4.9777777777777779</v>
      </c>
      <c r="Q29">
        <v>1040</v>
      </c>
      <c r="R29">
        <v>1040</v>
      </c>
      <c r="S29" s="2">
        <f t="shared" si="9"/>
        <v>2080</v>
      </c>
      <c r="T29" s="2">
        <f t="shared" si="10"/>
        <v>16640</v>
      </c>
      <c r="U29" s="2">
        <f t="shared" si="11"/>
        <v>4.6222222222222218</v>
      </c>
      <c r="V29">
        <v>1200</v>
      </c>
      <c r="W29">
        <v>1200</v>
      </c>
      <c r="X29" s="2">
        <f t="shared" si="12"/>
        <v>2400</v>
      </c>
      <c r="Y29" s="2">
        <f t="shared" si="13"/>
        <v>19200</v>
      </c>
      <c r="Z29" s="2">
        <f t="shared" si="14"/>
        <v>5.333333333333333</v>
      </c>
      <c r="AA29">
        <v>1040</v>
      </c>
      <c r="AB29">
        <v>1040</v>
      </c>
      <c r="AC29" s="2">
        <f t="shared" si="15"/>
        <v>2080</v>
      </c>
      <c r="AD29" s="2">
        <f t="shared" si="16"/>
        <v>16640</v>
      </c>
      <c r="AE29" s="2">
        <f t="shared" si="17"/>
        <v>4.6222222222222218</v>
      </c>
      <c r="AF29">
        <v>1040</v>
      </c>
      <c r="AG29">
        <v>1040</v>
      </c>
      <c r="AH29" s="2">
        <f t="shared" si="18"/>
        <v>2080</v>
      </c>
      <c r="AI29" s="2">
        <f t="shared" si="19"/>
        <v>16640</v>
      </c>
      <c r="AJ29" s="2">
        <f t="shared" si="20"/>
        <v>4.6222222222222218</v>
      </c>
      <c r="AK29">
        <v>960</v>
      </c>
      <c r="AL29">
        <v>960</v>
      </c>
      <c r="AM29" s="2">
        <f t="shared" si="21"/>
        <v>1920</v>
      </c>
      <c r="AN29" s="2">
        <f t="shared" si="22"/>
        <v>15360</v>
      </c>
      <c r="AO29" s="2">
        <f t="shared" si="23"/>
        <v>4.2666666666666666</v>
      </c>
      <c r="AP29">
        <v>1040</v>
      </c>
      <c r="AQ29">
        <v>1040</v>
      </c>
      <c r="AR29" s="2">
        <f t="shared" si="24"/>
        <v>2080</v>
      </c>
      <c r="AS29" s="2">
        <f t="shared" si="25"/>
        <v>16640</v>
      </c>
      <c r="AT29" s="2">
        <f t="shared" si="26"/>
        <v>4.6222222222222218</v>
      </c>
      <c r="AU29">
        <v>1120</v>
      </c>
      <c r="AV29">
        <v>1120</v>
      </c>
      <c r="AW29" s="2">
        <f t="shared" si="27"/>
        <v>2240</v>
      </c>
      <c r="AX29" s="2">
        <f t="shared" si="28"/>
        <v>17920</v>
      </c>
      <c r="AY29" s="2">
        <f t="shared" si="29"/>
        <v>4.9777777777777779</v>
      </c>
    </row>
    <row r="30" spans="1:51" x14ac:dyDescent="0.3">
      <c r="A30" s="2" t="s">
        <v>34</v>
      </c>
      <c r="B30">
        <v>1040</v>
      </c>
      <c r="C30">
        <v>1040</v>
      </c>
      <c r="D30" s="2">
        <f t="shared" si="0"/>
        <v>2080</v>
      </c>
      <c r="E30" s="2">
        <f t="shared" si="1"/>
        <v>16640</v>
      </c>
      <c r="F30" s="2">
        <f t="shared" si="2"/>
        <v>4.6222222222222218</v>
      </c>
      <c r="G30">
        <v>960</v>
      </c>
      <c r="H30">
        <v>960</v>
      </c>
      <c r="I30" s="2">
        <f t="shared" si="3"/>
        <v>1920</v>
      </c>
      <c r="J30" s="2">
        <f t="shared" si="4"/>
        <v>15360</v>
      </c>
      <c r="K30" s="2">
        <f t="shared" si="5"/>
        <v>4.2666666666666666</v>
      </c>
      <c r="L30">
        <v>960</v>
      </c>
      <c r="M30">
        <v>960</v>
      </c>
      <c r="N30" s="2">
        <f t="shared" si="6"/>
        <v>1920</v>
      </c>
      <c r="O30" s="2">
        <f t="shared" si="7"/>
        <v>15360</v>
      </c>
      <c r="P30" s="2">
        <f t="shared" si="8"/>
        <v>4.2666666666666666</v>
      </c>
      <c r="Q30">
        <v>1200</v>
      </c>
      <c r="R30">
        <v>1200</v>
      </c>
      <c r="S30" s="2">
        <f t="shared" si="9"/>
        <v>2400</v>
      </c>
      <c r="T30" s="2">
        <f t="shared" si="10"/>
        <v>19200</v>
      </c>
      <c r="U30" s="2">
        <f t="shared" si="11"/>
        <v>5.333333333333333</v>
      </c>
      <c r="V30">
        <v>1120</v>
      </c>
      <c r="W30">
        <v>1120</v>
      </c>
      <c r="X30" s="2">
        <f t="shared" si="12"/>
        <v>2240</v>
      </c>
      <c r="Y30" s="2">
        <f t="shared" si="13"/>
        <v>17920</v>
      </c>
      <c r="Z30" s="2">
        <f t="shared" si="14"/>
        <v>4.9777777777777779</v>
      </c>
      <c r="AA30">
        <v>720</v>
      </c>
      <c r="AB30">
        <v>720</v>
      </c>
      <c r="AC30" s="2">
        <f t="shared" si="15"/>
        <v>1440</v>
      </c>
      <c r="AD30" s="2">
        <f t="shared" si="16"/>
        <v>11520</v>
      </c>
      <c r="AE30" s="2">
        <f t="shared" si="17"/>
        <v>3.2</v>
      </c>
      <c r="AF30">
        <v>960</v>
      </c>
      <c r="AG30">
        <v>960</v>
      </c>
      <c r="AH30" s="2">
        <f t="shared" si="18"/>
        <v>1920</v>
      </c>
      <c r="AI30" s="2">
        <f t="shared" si="19"/>
        <v>15360</v>
      </c>
      <c r="AJ30" s="2">
        <f t="shared" si="20"/>
        <v>4.2666666666666666</v>
      </c>
      <c r="AK30">
        <v>960</v>
      </c>
      <c r="AL30">
        <v>960</v>
      </c>
      <c r="AM30" s="2">
        <f t="shared" si="21"/>
        <v>1920</v>
      </c>
      <c r="AN30" s="2">
        <f t="shared" si="22"/>
        <v>15360</v>
      </c>
      <c r="AO30" s="2">
        <f t="shared" si="23"/>
        <v>4.2666666666666666</v>
      </c>
      <c r="AP30">
        <v>880</v>
      </c>
      <c r="AQ30">
        <v>880</v>
      </c>
      <c r="AR30" s="2">
        <f t="shared" si="24"/>
        <v>1760</v>
      </c>
      <c r="AS30" s="2">
        <f t="shared" si="25"/>
        <v>14080</v>
      </c>
      <c r="AT30" s="2">
        <f t="shared" si="26"/>
        <v>3.911111111111111</v>
      </c>
      <c r="AU30">
        <v>800</v>
      </c>
      <c r="AV30">
        <v>800</v>
      </c>
      <c r="AW30" s="2">
        <f t="shared" si="27"/>
        <v>1600</v>
      </c>
      <c r="AX30" s="2">
        <f t="shared" si="28"/>
        <v>12800</v>
      </c>
      <c r="AY30" s="2">
        <f t="shared" si="29"/>
        <v>3.5555555555555554</v>
      </c>
    </row>
    <row r="31" spans="1:51" x14ac:dyDescent="0.3">
      <c r="A31" s="2" t="s">
        <v>35</v>
      </c>
      <c r="B31">
        <v>1120</v>
      </c>
      <c r="C31">
        <v>1120</v>
      </c>
      <c r="D31" s="2">
        <f t="shared" si="0"/>
        <v>2240</v>
      </c>
      <c r="E31" s="2">
        <f t="shared" si="1"/>
        <v>17920</v>
      </c>
      <c r="F31" s="2">
        <f t="shared" si="2"/>
        <v>4.9777777777777779</v>
      </c>
      <c r="G31">
        <v>1200</v>
      </c>
      <c r="H31">
        <v>1200</v>
      </c>
      <c r="I31" s="2">
        <f t="shared" si="3"/>
        <v>2400</v>
      </c>
      <c r="J31" s="2">
        <f t="shared" si="4"/>
        <v>19200</v>
      </c>
      <c r="K31" s="2">
        <f t="shared" si="5"/>
        <v>5.333333333333333</v>
      </c>
      <c r="L31">
        <v>960</v>
      </c>
      <c r="M31">
        <v>960</v>
      </c>
      <c r="N31" s="2">
        <f t="shared" si="6"/>
        <v>1920</v>
      </c>
      <c r="O31" s="2">
        <f t="shared" si="7"/>
        <v>15360</v>
      </c>
      <c r="P31" s="2">
        <f t="shared" si="8"/>
        <v>4.2666666666666666</v>
      </c>
      <c r="Q31">
        <v>1200</v>
      </c>
      <c r="R31">
        <v>1200</v>
      </c>
      <c r="S31" s="2">
        <f t="shared" si="9"/>
        <v>2400</v>
      </c>
      <c r="T31" s="2">
        <f t="shared" si="10"/>
        <v>19200</v>
      </c>
      <c r="U31" s="2">
        <f t="shared" si="11"/>
        <v>5.333333333333333</v>
      </c>
      <c r="V31">
        <v>960</v>
      </c>
      <c r="W31">
        <v>960</v>
      </c>
      <c r="X31" s="2">
        <f t="shared" si="12"/>
        <v>1920</v>
      </c>
      <c r="Y31" s="2">
        <f t="shared" si="13"/>
        <v>15360</v>
      </c>
      <c r="Z31" s="2">
        <f t="shared" si="14"/>
        <v>4.2666666666666666</v>
      </c>
      <c r="AA31">
        <v>1120</v>
      </c>
      <c r="AB31">
        <v>1120</v>
      </c>
      <c r="AC31" s="2">
        <f t="shared" si="15"/>
        <v>2240</v>
      </c>
      <c r="AD31" s="2">
        <f t="shared" si="16"/>
        <v>17920</v>
      </c>
      <c r="AE31" s="2">
        <f t="shared" si="17"/>
        <v>4.9777777777777779</v>
      </c>
      <c r="AF31">
        <v>960</v>
      </c>
      <c r="AG31">
        <v>960</v>
      </c>
      <c r="AH31" s="2">
        <f t="shared" si="18"/>
        <v>1920</v>
      </c>
      <c r="AI31" s="2">
        <f t="shared" si="19"/>
        <v>15360</v>
      </c>
      <c r="AJ31" s="2">
        <f t="shared" si="20"/>
        <v>4.2666666666666666</v>
      </c>
      <c r="AK31">
        <v>1120</v>
      </c>
      <c r="AL31">
        <v>1120</v>
      </c>
      <c r="AM31" s="2">
        <f t="shared" si="21"/>
        <v>2240</v>
      </c>
      <c r="AN31" s="2">
        <f t="shared" si="22"/>
        <v>17920</v>
      </c>
      <c r="AO31" s="2">
        <f t="shared" si="23"/>
        <v>4.9777777777777779</v>
      </c>
      <c r="AP31">
        <v>1200</v>
      </c>
      <c r="AQ31">
        <v>1200</v>
      </c>
      <c r="AR31" s="2">
        <f t="shared" si="24"/>
        <v>2400</v>
      </c>
      <c r="AS31" s="2">
        <f t="shared" si="25"/>
        <v>19200</v>
      </c>
      <c r="AT31" s="2">
        <f t="shared" si="26"/>
        <v>5.333333333333333</v>
      </c>
      <c r="AU31">
        <v>1040</v>
      </c>
      <c r="AV31">
        <v>1040</v>
      </c>
      <c r="AW31" s="2">
        <f t="shared" si="27"/>
        <v>2080</v>
      </c>
      <c r="AX31" s="2">
        <f t="shared" si="28"/>
        <v>16640</v>
      </c>
      <c r="AY31" s="2">
        <f t="shared" si="29"/>
        <v>4.6222222222222218</v>
      </c>
    </row>
    <row r="32" spans="1:51" x14ac:dyDescent="0.3">
      <c r="A32" s="2" t="s">
        <v>36</v>
      </c>
      <c r="B32">
        <v>1280</v>
      </c>
      <c r="C32">
        <v>1280</v>
      </c>
      <c r="D32" s="2">
        <f t="shared" si="0"/>
        <v>2560</v>
      </c>
      <c r="E32" s="2">
        <f t="shared" si="1"/>
        <v>20480</v>
      </c>
      <c r="F32" s="2">
        <f t="shared" si="2"/>
        <v>5.6888888888888891</v>
      </c>
      <c r="G32">
        <v>1040</v>
      </c>
      <c r="H32">
        <v>1040</v>
      </c>
      <c r="I32" s="2">
        <f t="shared" si="3"/>
        <v>2080</v>
      </c>
      <c r="J32" s="2">
        <f t="shared" si="4"/>
        <v>16640</v>
      </c>
      <c r="K32" s="2">
        <f t="shared" si="5"/>
        <v>4.6222222222222218</v>
      </c>
      <c r="L32">
        <v>1120</v>
      </c>
      <c r="M32">
        <v>1120</v>
      </c>
      <c r="N32" s="2">
        <f t="shared" si="6"/>
        <v>2240</v>
      </c>
      <c r="O32" s="2">
        <f t="shared" si="7"/>
        <v>17920</v>
      </c>
      <c r="P32" s="2">
        <f t="shared" si="8"/>
        <v>4.9777777777777779</v>
      </c>
      <c r="Q32">
        <v>1120</v>
      </c>
      <c r="R32">
        <v>1120</v>
      </c>
      <c r="S32" s="2">
        <f t="shared" si="9"/>
        <v>2240</v>
      </c>
      <c r="T32" s="2">
        <f t="shared" si="10"/>
        <v>17920</v>
      </c>
      <c r="U32" s="2">
        <f t="shared" si="11"/>
        <v>4.9777777777777779</v>
      </c>
      <c r="V32">
        <v>960</v>
      </c>
      <c r="W32">
        <v>960</v>
      </c>
      <c r="X32" s="2">
        <f t="shared" si="12"/>
        <v>1920</v>
      </c>
      <c r="Y32" s="2">
        <f t="shared" si="13"/>
        <v>15360</v>
      </c>
      <c r="Z32" s="2">
        <f t="shared" si="14"/>
        <v>4.2666666666666666</v>
      </c>
      <c r="AA32">
        <v>1200</v>
      </c>
      <c r="AB32">
        <v>1200</v>
      </c>
      <c r="AC32" s="2">
        <f t="shared" si="15"/>
        <v>2400</v>
      </c>
      <c r="AD32" s="2">
        <f t="shared" si="16"/>
        <v>19200</v>
      </c>
      <c r="AE32" s="2">
        <f t="shared" si="17"/>
        <v>5.333333333333333</v>
      </c>
      <c r="AF32">
        <v>1120</v>
      </c>
      <c r="AG32">
        <v>1120</v>
      </c>
      <c r="AH32" s="2">
        <f t="shared" si="18"/>
        <v>2240</v>
      </c>
      <c r="AI32" s="2">
        <f t="shared" si="19"/>
        <v>17920</v>
      </c>
      <c r="AJ32" s="2">
        <f t="shared" si="20"/>
        <v>4.9777777777777779</v>
      </c>
      <c r="AK32">
        <v>960</v>
      </c>
      <c r="AL32">
        <v>960</v>
      </c>
      <c r="AM32" s="2">
        <f t="shared" si="21"/>
        <v>1920</v>
      </c>
      <c r="AN32" s="2">
        <f t="shared" si="22"/>
        <v>15360</v>
      </c>
      <c r="AO32" s="2">
        <f t="shared" si="23"/>
        <v>4.2666666666666666</v>
      </c>
      <c r="AP32">
        <v>880</v>
      </c>
      <c r="AQ32">
        <v>880</v>
      </c>
      <c r="AR32" s="2">
        <f t="shared" si="24"/>
        <v>1760</v>
      </c>
      <c r="AS32" s="2">
        <f t="shared" si="25"/>
        <v>14080</v>
      </c>
      <c r="AT32" s="2">
        <f t="shared" si="26"/>
        <v>3.911111111111111</v>
      </c>
      <c r="AU32">
        <v>1200</v>
      </c>
      <c r="AV32">
        <v>1200</v>
      </c>
      <c r="AW32" s="2">
        <f t="shared" si="27"/>
        <v>2400</v>
      </c>
      <c r="AX32" s="2">
        <f t="shared" si="28"/>
        <v>19200</v>
      </c>
      <c r="AY32" s="2">
        <f t="shared" si="29"/>
        <v>5.333333333333333</v>
      </c>
    </row>
    <row r="33" spans="1:51" x14ac:dyDescent="0.3">
      <c r="A33" s="2" t="s">
        <v>37</v>
      </c>
      <c r="B33">
        <v>960</v>
      </c>
      <c r="C33">
        <v>960</v>
      </c>
      <c r="D33" s="2">
        <f t="shared" si="0"/>
        <v>1920</v>
      </c>
      <c r="E33" s="2">
        <f t="shared" si="1"/>
        <v>15360</v>
      </c>
      <c r="F33" s="2">
        <f t="shared" si="2"/>
        <v>4.2666666666666666</v>
      </c>
      <c r="G33">
        <v>1120</v>
      </c>
      <c r="H33">
        <v>1120</v>
      </c>
      <c r="I33" s="2">
        <f t="shared" si="3"/>
        <v>2240</v>
      </c>
      <c r="J33" s="2">
        <f t="shared" si="4"/>
        <v>17920</v>
      </c>
      <c r="K33" s="2">
        <f t="shared" si="5"/>
        <v>4.9777777777777779</v>
      </c>
      <c r="L33">
        <v>1120</v>
      </c>
      <c r="M33">
        <v>1120</v>
      </c>
      <c r="N33" s="2">
        <f t="shared" si="6"/>
        <v>2240</v>
      </c>
      <c r="O33" s="2">
        <f t="shared" si="7"/>
        <v>17920</v>
      </c>
      <c r="P33" s="2">
        <f t="shared" si="8"/>
        <v>4.9777777777777779</v>
      </c>
      <c r="Q33">
        <v>1360</v>
      </c>
      <c r="R33">
        <v>1360</v>
      </c>
      <c r="S33" s="2">
        <f t="shared" si="9"/>
        <v>2720</v>
      </c>
      <c r="T33" s="2">
        <f t="shared" si="10"/>
        <v>21760</v>
      </c>
      <c r="U33" s="2">
        <f t="shared" si="11"/>
        <v>6.0444444444444443</v>
      </c>
      <c r="V33">
        <v>960</v>
      </c>
      <c r="W33">
        <v>960</v>
      </c>
      <c r="X33" s="2">
        <f t="shared" si="12"/>
        <v>1920</v>
      </c>
      <c r="Y33" s="2">
        <f t="shared" si="13"/>
        <v>15360</v>
      </c>
      <c r="Z33" s="2">
        <f t="shared" si="14"/>
        <v>4.2666666666666666</v>
      </c>
      <c r="AA33">
        <v>1040</v>
      </c>
      <c r="AB33">
        <v>1040</v>
      </c>
      <c r="AC33" s="2">
        <f t="shared" si="15"/>
        <v>2080</v>
      </c>
      <c r="AD33" s="2">
        <f t="shared" si="16"/>
        <v>16640</v>
      </c>
      <c r="AE33" s="2">
        <f t="shared" si="17"/>
        <v>4.6222222222222218</v>
      </c>
      <c r="AF33">
        <v>960</v>
      </c>
      <c r="AG33">
        <v>960</v>
      </c>
      <c r="AH33" s="2">
        <f t="shared" si="18"/>
        <v>1920</v>
      </c>
      <c r="AI33" s="2">
        <f t="shared" si="19"/>
        <v>15360</v>
      </c>
      <c r="AJ33" s="2">
        <f t="shared" si="20"/>
        <v>4.2666666666666666</v>
      </c>
      <c r="AK33">
        <v>1200</v>
      </c>
      <c r="AL33">
        <v>1200</v>
      </c>
      <c r="AM33" s="2">
        <f t="shared" si="21"/>
        <v>2400</v>
      </c>
      <c r="AN33" s="2">
        <f t="shared" si="22"/>
        <v>19200</v>
      </c>
      <c r="AO33" s="2">
        <f t="shared" si="23"/>
        <v>5.333333333333333</v>
      </c>
      <c r="AP33">
        <v>960</v>
      </c>
      <c r="AQ33">
        <v>960</v>
      </c>
      <c r="AR33" s="2">
        <f t="shared" si="24"/>
        <v>1920</v>
      </c>
      <c r="AS33" s="2">
        <f t="shared" si="25"/>
        <v>15360</v>
      </c>
      <c r="AT33" s="2">
        <f t="shared" si="26"/>
        <v>4.2666666666666666</v>
      </c>
      <c r="AU33">
        <v>1120</v>
      </c>
      <c r="AV33">
        <v>1120</v>
      </c>
      <c r="AW33" s="2">
        <f t="shared" si="27"/>
        <v>2240</v>
      </c>
      <c r="AX33" s="2">
        <f t="shared" si="28"/>
        <v>17920</v>
      </c>
      <c r="AY33" s="2">
        <f t="shared" si="29"/>
        <v>4.9777777777777779</v>
      </c>
    </row>
    <row r="34" spans="1:51" x14ac:dyDescent="0.3">
      <c r="A34" s="2" t="s">
        <v>38</v>
      </c>
      <c r="B34">
        <v>1040</v>
      </c>
      <c r="C34">
        <v>1040</v>
      </c>
      <c r="D34" s="2">
        <f t="shared" si="0"/>
        <v>2080</v>
      </c>
      <c r="E34" s="2">
        <f t="shared" si="1"/>
        <v>16640</v>
      </c>
      <c r="F34" s="2">
        <f t="shared" si="2"/>
        <v>4.6222222222222218</v>
      </c>
      <c r="G34">
        <v>880</v>
      </c>
      <c r="H34">
        <v>880</v>
      </c>
      <c r="I34" s="2">
        <f t="shared" si="3"/>
        <v>1760</v>
      </c>
      <c r="J34" s="2">
        <f t="shared" si="4"/>
        <v>14080</v>
      </c>
      <c r="K34" s="2">
        <f t="shared" si="5"/>
        <v>3.911111111111111</v>
      </c>
      <c r="L34">
        <v>1040</v>
      </c>
      <c r="M34">
        <v>1040</v>
      </c>
      <c r="N34" s="2">
        <f t="shared" si="6"/>
        <v>2080</v>
      </c>
      <c r="O34" s="2">
        <f t="shared" si="7"/>
        <v>16640</v>
      </c>
      <c r="P34" s="2">
        <f t="shared" si="8"/>
        <v>4.6222222222222218</v>
      </c>
      <c r="Q34">
        <v>1040</v>
      </c>
      <c r="R34">
        <v>1040</v>
      </c>
      <c r="S34" s="2">
        <f t="shared" si="9"/>
        <v>2080</v>
      </c>
      <c r="T34" s="2">
        <f t="shared" si="10"/>
        <v>16640</v>
      </c>
      <c r="U34" s="2">
        <f t="shared" si="11"/>
        <v>4.6222222222222218</v>
      </c>
      <c r="V34">
        <v>960</v>
      </c>
      <c r="W34">
        <v>960</v>
      </c>
      <c r="X34" s="2">
        <f t="shared" si="12"/>
        <v>1920</v>
      </c>
      <c r="Y34" s="2">
        <f t="shared" si="13"/>
        <v>15360</v>
      </c>
      <c r="Z34" s="2">
        <f t="shared" si="14"/>
        <v>4.2666666666666666</v>
      </c>
      <c r="AA34">
        <v>1120</v>
      </c>
      <c r="AB34">
        <v>1120</v>
      </c>
      <c r="AC34" s="2">
        <f t="shared" si="15"/>
        <v>2240</v>
      </c>
      <c r="AD34" s="2">
        <f t="shared" si="16"/>
        <v>17920</v>
      </c>
      <c r="AE34" s="2">
        <f t="shared" si="17"/>
        <v>4.9777777777777779</v>
      </c>
      <c r="AF34">
        <v>1040</v>
      </c>
      <c r="AG34">
        <v>1040</v>
      </c>
      <c r="AH34" s="2">
        <f t="shared" si="18"/>
        <v>2080</v>
      </c>
      <c r="AI34" s="2">
        <f t="shared" si="19"/>
        <v>16640</v>
      </c>
      <c r="AJ34" s="2">
        <f t="shared" si="20"/>
        <v>4.6222222222222218</v>
      </c>
      <c r="AK34">
        <v>960</v>
      </c>
      <c r="AL34">
        <v>960</v>
      </c>
      <c r="AM34" s="2">
        <f t="shared" si="21"/>
        <v>1920</v>
      </c>
      <c r="AN34" s="2">
        <f t="shared" si="22"/>
        <v>15360</v>
      </c>
      <c r="AO34" s="2">
        <f t="shared" si="23"/>
        <v>4.2666666666666666</v>
      </c>
      <c r="AP34">
        <v>1200</v>
      </c>
      <c r="AQ34">
        <v>1200</v>
      </c>
      <c r="AR34" s="2">
        <f t="shared" si="24"/>
        <v>2400</v>
      </c>
      <c r="AS34" s="2">
        <f t="shared" si="25"/>
        <v>19200</v>
      </c>
      <c r="AT34" s="2">
        <f t="shared" si="26"/>
        <v>5.333333333333333</v>
      </c>
      <c r="AU34">
        <v>960</v>
      </c>
      <c r="AV34">
        <v>960</v>
      </c>
      <c r="AW34" s="2">
        <f t="shared" si="27"/>
        <v>1920</v>
      </c>
      <c r="AX34" s="2">
        <f t="shared" si="28"/>
        <v>15360</v>
      </c>
      <c r="AY34" s="2">
        <f t="shared" si="29"/>
        <v>4.2666666666666666</v>
      </c>
    </row>
    <row r="35" spans="1:51" x14ac:dyDescent="0.3">
      <c r="A35" s="2" t="s">
        <v>39</v>
      </c>
      <c r="B35">
        <v>960</v>
      </c>
      <c r="C35">
        <v>960</v>
      </c>
      <c r="D35" s="2">
        <f t="shared" si="0"/>
        <v>1920</v>
      </c>
      <c r="E35" s="2">
        <f t="shared" si="1"/>
        <v>15360</v>
      </c>
      <c r="F35" s="2">
        <f t="shared" si="2"/>
        <v>4.2666666666666666</v>
      </c>
      <c r="G35">
        <v>1200</v>
      </c>
      <c r="H35">
        <v>1200</v>
      </c>
      <c r="I35" s="2">
        <f t="shared" si="3"/>
        <v>2400</v>
      </c>
      <c r="J35" s="2">
        <f t="shared" si="4"/>
        <v>19200</v>
      </c>
      <c r="K35" s="2">
        <f t="shared" si="5"/>
        <v>5.333333333333333</v>
      </c>
      <c r="L35">
        <v>1200</v>
      </c>
      <c r="M35">
        <v>1200</v>
      </c>
      <c r="N35" s="2">
        <f t="shared" si="6"/>
        <v>2400</v>
      </c>
      <c r="O35" s="2">
        <f t="shared" si="7"/>
        <v>19200</v>
      </c>
      <c r="P35" s="2">
        <f t="shared" si="8"/>
        <v>5.333333333333333</v>
      </c>
      <c r="Q35">
        <v>1360</v>
      </c>
      <c r="R35">
        <v>1360</v>
      </c>
      <c r="S35" s="2">
        <f t="shared" si="9"/>
        <v>2720</v>
      </c>
      <c r="T35" s="2">
        <f t="shared" si="10"/>
        <v>21760</v>
      </c>
      <c r="U35" s="2">
        <f t="shared" si="11"/>
        <v>6.0444444444444443</v>
      </c>
      <c r="V35">
        <v>1040</v>
      </c>
      <c r="W35">
        <v>1040</v>
      </c>
      <c r="X35" s="2">
        <f t="shared" si="12"/>
        <v>2080</v>
      </c>
      <c r="Y35" s="2">
        <f t="shared" si="13"/>
        <v>16640</v>
      </c>
      <c r="Z35" s="2">
        <f t="shared" si="14"/>
        <v>4.6222222222222218</v>
      </c>
      <c r="AA35">
        <v>960</v>
      </c>
      <c r="AB35">
        <v>960</v>
      </c>
      <c r="AC35" s="2">
        <f t="shared" si="15"/>
        <v>1920</v>
      </c>
      <c r="AD35" s="2">
        <f t="shared" si="16"/>
        <v>15360</v>
      </c>
      <c r="AE35" s="2">
        <f t="shared" si="17"/>
        <v>4.2666666666666666</v>
      </c>
      <c r="AF35">
        <v>1120</v>
      </c>
      <c r="AG35">
        <v>1120</v>
      </c>
      <c r="AH35" s="2">
        <f t="shared" si="18"/>
        <v>2240</v>
      </c>
      <c r="AI35" s="2">
        <f t="shared" si="19"/>
        <v>17920</v>
      </c>
      <c r="AJ35" s="2">
        <f t="shared" si="20"/>
        <v>4.9777777777777779</v>
      </c>
      <c r="AK35">
        <v>1040</v>
      </c>
      <c r="AL35">
        <v>1040</v>
      </c>
      <c r="AM35" s="2">
        <f t="shared" si="21"/>
        <v>2080</v>
      </c>
      <c r="AN35" s="2">
        <f t="shared" si="22"/>
        <v>16640</v>
      </c>
      <c r="AO35" s="2">
        <f t="shared" si="23"/>
        <v>4.6222222222222218</v>
      </c>
      <c r="AP35">
        <v>880</v>
      </c>
      <c r="AQ35">
        <v>880</v>
      </c>
      <c r="AR35" s="2">
        <f t="shared" si="24"/>
        <v>1760</v>
      </c>
      <c r="AS35" s="2">
        <f t="shared" si="25"/>
        <v>14080</v>
      </c>
      <c r="AT35" s="2">
        <f t="shared" si="26"/>
        <v>3.911111111111111</v>
      </c>
      <c r="AU35">
        <v>1200</v>
      </c>
      <c r="AV35">
        <v>1200</v>
      </c>
      <c r="AW35" s="2">
        <f t="shared" si="27"/>
        <v>2400</v>
      </c>
      <c r="AX35" s="2">
        <f t="shared" si="28"/>
        <v>19200</v>
      </c>
      <c r="AY35" s="2">
        <f t="shared" si="29"/>
        <v>5.333333333333333</v>
      </c>
    </row>
    <row r="36" spans="1:51" x14ac:dyDescent="0.3">
      <c r="A36" s="2" t="s">
        <v>40</v>
      </c>
      <c r="B36">
        <v>960</v>
      </c>
      <c r="C36">
        <v>960</v>
      </c>
      <c r="D36" s="2">
        <f t="shared" si="0"/>
        <v>1920</v>
      </c>
      <c r="E36" s="2">
        <f t="shared" si="1"/>
        <v>15360</v>
      </c>
      <c r="F36" s="2">
        <f t="shared" si="2"/>
        <v>4.2666666666666666</v>
      </c>
      <c r="G36">
        <v>960</v>
      </c>
      <c r="H36">
        <v>960</v>
      </c>
      <c r="I36" s="2">
        <f t="shared" si="3"/>
        <v>1920</v>
      </c>
      <c r="J36" s="2">
        <f t="shared" si="4"/>
        <v>15360</v>
      </c>
      <c r="K36" s="2">
        <f t="shared" si="5"/>
        <v>4.2666666666666666</v>
      </c>
      <c r="L36">
        <v>960</v>
      </c>
      <c r="M36">
        <v>960</v>
      </c>
      <c r="N36" s="2">
        <f t="shared" si="6"/>
        <v>1920</v>
      </c>
      <c r="O36" s="2">
        <f t="shared" si="7"/>
        <v>15360</v>
      </c>
      <c r="P36" s="2">
        <f t="shared" si="8"/>
        <v>4.2666666666666666</v>
      </c>
      <c r="Q36">
        <v>880</v>
      </c>
      <c r="R36">
        <v>880</v>
      </c>
      <c r="S36" s="2">
        <f t="shared" si="9"/>
        <v>1760</v>
      </c>
      <c r="T36" s="2">
        <f t="shared" si="10"/>
        <v>14080</v>
      </c>
      <c r="U36" s="2">
        <f t="shared" si="11"/>
        <v>3.911111111111111</v>
      </c>
      <c r="V36">
        <v>880</v>
      </c>
      <c r="W36">
        <v>880</v>
      </c>
      <c r="X36" s="2">
        <f t="shared" si="12"/>
        <v>1760</v>
      </c>
      <c r="Y36" s="2">
        <f t="shared" si="13"/>
        <v>14080</v>
      </c>
      <c r="Z36" s="2">
        <f t="shared" si="14"/>
        <v>3.911111111111111</v>
      </c>
      <c r="AA36">
        <v>1120</v>
      </c>
      <c r="AB36">
        <v>1120</v>
      </c>
      <c r="AC36" s="2">
        <f t="shared" si="15"/>
        <v>2240</v>
      </c>
      <c r="AD36" s="2">
        <f t="shared" si="16"/>
        <v>17920</v>
      </c>
      <c r="AE36" s="2">
        <f t="shared" si="17"/>
        <v>4.9777777777777779</v>
      </c>
      <c r="AF36">
        <v>880</v>
      </c>
      <c r="AG36">
        <v>880</v>
      </c>
      <c r="AH36" s="2">
        <f t="shared" si="18"/>
        <v>1760</v>
      </c>
      <c r="AI36" s="2">
        <f t="shared" si="19"/>
        <v>14080</v>
      </c>
      <c r="AJ36" s="2">
        <f t="shared" si="20"/>
        <v>3.911111111111111</v>
      </c>
      <c r="AK36">
        <v>800</v>
      </c>
      <c r="AL36">
        <v>800</v>
      </c>
      <c r="AM36" s="2">
        <f t="shared" si="21"/>
        <v>1600</v>
      </c>
      <c r="AN36" s="2">
        <f t="shared" si="22"/>
        <v>12800</v>
      </c>
      <c r="AO36" s="2">
        <f t="shared" si="23"/>
        <v>3.5555555555555554</v>
      </c>
      <c r="AP36">
        <v>960</v>
      </c>
      <c r="AQ36">
        <v>960</v>
      </c>
      <c r="AR36" s="2">
        <f t="shared" si="24"/>
        <v>1920</v>
      </c>
      <c r="AS36" s="2">
        <f t="shared" si="25"/>
        <v>15360</v>
      </c>
      <c r="AT36" s="2">
        <f t="shared" si="26"/>
        <v>4.2666666666666666</v>
      </c>
      <c r="AU36">
        <v>1040</v>
      </c>
      <c r="AV36">
        <v>1040</v>
      </c>
      <c r="AW36" s="2">
        <f t="shared" si="27"/>
        <v>2080</v>
      </c>
      <c r="AX36" s="2">
        <f t="shared" si="28"/>
        <v>16640</v>
      </c>
      <c r="AY36" s="2">
        <f t="shared" si="29"/>
        <v>4.6222222222222218</v>
      </c>
    </row>
    <row r="37" spans="1:51" x14ac:dyDescent="0.3">
      <c r="A37" s="2" t="s">
        <v>41</v>
      </c>
      <c r="B37">
        <v>1040</v>
      </c>
      <c r="C37">
        <v>1040</v>
      </c>
      <c r="D37" s="2">
        <f t="shared" si="0"/>
        <v>2080</v>
      </c>
      <c r="E37" s="2">
        <f t="shared" si="1"/>
        <v>16640</v>
      </c>
      <c r="F37" s="2">
        <f t="shared" si="2"/>
        <v>4.6222222222222218</v>
      </c>
      <c r="G37">
        <v>1200</v>
      </c>
      <c r="H37">
        <v>1200</v>
      </c>
      <c r="I37" s="2">
        <f t="shared" si="3"/>
        <v>2400</v>
      </c>
      <c r="J37" s="2">
        <f t="shared" si="4"/>
        <v>19200</v>
      </c>
      <c r="K37" s="2">
        <f t="shared" si="5"/>
        <v>5.333333333333333</v>
      </c>
      <c r="L37">
        <v>800</v>
      </c>
      <c r="M37">
        <v>800</v>
      </c>
      <c r="N37" s="2">
        <f t="shared" si="6"/>
        <v>1600</v>
      </c>
      <c r="O37" s="2">
        <f t="shared" si="7"/>
        <v>12800</v>
      </c>
      <c r="P37" s="2">
        <f t="shared" si="8"/>
        <v>3.5555555555555554</v>
      </c>
      <c r="Q37">
        <v>800</v>
      </c>
      <c r="R37">
        <v>800</v>
      </c>
      <c r="S37" s="2">
        <f t="shared" si="9"/>
        <v>1600</v>
      </c>
      <c r="T37" s="2">
        <f t="shared" si="10"/>
        <v>12800</v>
      </c>
      <c r="U37" s="2">
        <f t="shared" si="11"/>
        <v>3.5555555555555554</v>
      </c>
      <c r="V37">
        <v>880</v>
      </c>
      <c r="W37">
        <v>880</v>
      </c>
      <c r="X37" s="2">
        <f t="shared" si="12"/>
        <v>1760</v>
      </c>
      <c r="Y37" s="2">
        <f t="shared" si="13"/>
        <v>14080</v>
      </c>
      <c r="Z37" s="2">
        <f t="shared" si="14"/>
        <v>3.911111111111111</v>
      </c>
      <c r="AA37">
        <v>800</v>
      </c>
      <c r="AB37">
        <v>800</v>
      </c>
      <c r="AC37" s="2">
        <f t="shared" si="15"/>
        <v>1600</v>
      </c>
      <c r="AD37" s="2">
        <f t="shared" si="16"/>
        <v>12800</v>
      </c>
      <c r="AE37" s="2">
        <f t="shared" si="17"/>
        <v>3.5555555555555554</v>
      </c>
      <c r="AF37">
        <v>880</v>
      </c>
      <c r="AG37">
        <v>880</v>
      </c>
      <c r="AH37" s="2">
        <f t="shared" si="18"/>
        <v>1760</v>
      </c>
      <c r="AI37" s="2">
        <f t="shared" si="19"/>
        <v>14080</v>
      </c>
      <c r="AJ37" s="2">
        <f t="shared" si="20"/>
        <v>3.911111111111111</v>
      </c>
      <c r="AK37">
        <v>880</v>
      </c>
      <c r="AL37">
        <v>880</v>
      </c>
      <c r="AM37" s="2">
        <f t="shared" si="21"/>
        <v>1760</v>
      </c>
      <c r="AN37" s="2">
        <f t="shared" si="22"/>
        <v>14080</v>
      </c>
      <c r="AO37" s="2">
        <f t="shared" si="23"/>
        <v>3.911111111111111</v>
      </c>
      <c r="AP37">
        <v>960</v>
      </c>
      <c r="AQ37">
        <v>960</v>
      </c>
      <c r="AR37" s="2">
        <f t="shared" si="24"/>
        <v>1920</v>
      </c>
      <c r="AS37" s="2">
        <f t="shared" si="25"/>
        <v>15360</v>
      </c>
      <c r="AT37" s="2">
        <f t="shared" si="26"/>
        <v>4.2666666666666666</v>
      </c>
      <c r="AU37">
        <v>1040</v>
      </c>
      <c r="AV37">
        <v>1040</v>
      </c>
      <c r="AW37" s="2">
        <f t="shared" si="27"/>
        <v>2080</v>
      </c>
      <c r="AX37" s="2">
        <f t="shared" si="28"/>
        <v>16640</v>
      </c>
      <c r="AY37" s="2">
        <f t="shared" si="29"/>
        <v>4.6222222222222218</v>
      </c>
    </row>
    <row r="38" spans="1:51" x14ac:dyDescent="0.3">
      <c r="A38" s="2" t="s">
        <v>42</v>
      </c>
      <c r="B38">
        <v>960</v>
      </c>
      <c r="C38">
        <v>960</v>
      </c>
      <c r="D38" s="2">
        <f t="shared" si="0"/>
        <v>1920</v>
      </c>
      <c r="E38" s="2">
        <f t="shared" si="1"/>
        <v>15360</v>
      </c>
      <c r="F38" s="2">
        <f t="shared" si="2"/>
        <v>4.2666666666666666</v>
      </c>
      <c r="G38">
        <v>960</v>
      </c>
      <c r="H38">
        <v>960</v>
      </c>
      <c r="I38" s="2">
        <f t="shared" si="3"/>
        <v>1920</v>
      </c>
      <c r="J38" s="2">
        <f t="shared" si="4"/>
        <v>15360</v>
      </c>
      <c r="K38" s="2">
        <f t="shared" si="5"/>
        <v>4.2666666666666666</v>
      </c>
      <c r="L38">
        <v>960</v>
      </c>
      <c r="M38">
        <v>960</v>
      </c>
      <c r="N38" s="2">
        <f t="shared" si="6"/>
        <v>1920</v>
      </c>
      <c r="O38" s="2">
        <f t="shared" si="7"/>
        <v>15360</v>
      </c>
      <c r="P38" s="2">
        <f t="shared" si="8"/>
        <v>4.2666666666666666</v>
      </c>
      <c r="Q38">
        <v>960</v>
      </c>
      <c r="R38">
        <v>960</v>
      </c>
      <c r="S38" s="2">
        <f t="shared" si="9"/>
        <v>1920</v>
      </c>
      <c r="T38" s="2">
        <f t="shared" si="10"/>
        <v>15360</v>
      </c>
      <c r="U38" s="2">
        <f t="shared" si="11"/>
        <v>4.2666666666666666</v>
      </c>
      <c r="V38">
        <v>1120</v>
      </c>
      <c r="W38">
        <v>1120</v>
      </c>
      <c r="X38" s="2">
        <f t="shared" si="12"/>
        <v>2240</v>
      </c>
      <c r="Y38" s="2">
        <f t="shared" si="13"/>
        <v>17920</v>
      </c>
      <c r="Z38" s="2">
        <f t="shared" si="14"/>
        <v>4.9777777777777779</v>
      </c>
      <c r="AA38">
        <v>1200</v>
      </c>
      <c r="AB38">
        <v>1200</v>
      </c>
      <c r="AC38" s="2">
        <f t="shared" si="15"/>
        <v>2400</v>
      </c>
      <c r="AD38" s="2">
        <f t="shared" si="16"/>
        <v>19200</v>
      </c>
      <c r="AE38" s="2">
        <f t="shared" si="17"/>
        <v>5.333333333333333</v>
      </c>
      <c r="AF38">
        <v>1040</v>
      </c>
      <c r="AG38">
        <v>1040</v>
      </c>
      <c r="AH38" s="2">
        <f t="shared" si="18"/>
        <v>2080</v>
      </c>
      <c r="AI38" s="2">
        <f t="shared" si="19"/>
        <v>16640</v>
      </c>
      <c r="AJ38" s="2">
        <f t="shared" si="20"/>
        <v>4.6222222222222218</v>
      </c>
      <c r="AK38">
        <v>1200</v>
      </c>
      <c r="AL38">
        <v>1200</v>
      </c>
      <c r="AM38" s="2">
        <f t="shared" si="21"/>
        <v>2400</v>
      </c>
      <c r="AN38" s="2">
        <f t="shared" si="22"/>
        <v>19200</v>
      </c>
      <c r="AO38" s="2">
        <f t="shared" si="23"/>
        <v>5.333333333333333</v>
      </c>
      <c r="AP38">
        <v>960</v>
      </c>
      <c r="AQ38">
        <v>960</v>
      </c>
      <c r="AR38" s="2">
        <f t="shared" si="24"/>
        <v>1920</v>
      </c>
      <c r="AS38" s="2">
        <f t="shared" si="25"/>
        <v>15360</v>
      </c>
      <c r="AT38" s="2">
        <f t="shared" si="26"/>
        <v>4.2666666666666666</v>
      </c>
      <c r="AU38">
        <v>880</v>
      </c>
      <c r="AV38">
        <v>880</v>
      </c>
      <c r="AW38" s="2">
        <f t="shared" si="27"/>
        <v>1760</v>
      </c>
      <c r="AX38" s="2">
        <f t="shared" si="28"/>
        <v>14080</v>
      </c>
      <c r="AY38" s="2">
        <f t="shared" si="29"/>
        <v>3.911111111111111</v>
      </c>
    </row>
    <row r="39" spans="1:51" x14ac:dyDescent="0.3">
      <c r="A39" s="2" t="s">
        <v>43</v>
      </c>
      <c r="B39">
        <v>880</v>
      </c>
      <c r="C39">
        <v>880</v>
      </c>
      <c r="D39" s="2">
        <f t="shared" si="0"/>
        <v>1760</v>
      </c>
      <c r="E39" s="2">
        <f t="shared" si="1"/>
        <v>14080</v>
      </c>
      <c r="F39" s="2">
        <f t="shared" si="2"/>
        <v>3.911111111111111</v>
      </c>
      <c r="G39">
        <v>1040</v>
      </c>
      <c r="H39">
        <v>1040</v>
      </c>
      <c r="I39" s="2">
        <f t="shared" si="3"/>
        <v>2080</v>
      </c>
      <c r="J39" s="2">
        <f t="shared" si="4"/>
        <v>16640</v>
      </c>
      <c r="K39" s="2">
        <f t="shared" si="5"/>
        <v>4.6222222222222218</v>
      </c>
      <c r="L39">
        <v>1280</v>
      </c>
      <c r="M39">
        <v>1280</v>
      </c>
      <c r="N39" s="2">
        <f t="shared" si="6"/>
        <v>2560</v>
      </c>
      <c r="O39" s="2">
        <f t="shared" si="7"/>
        <v>20480</v>
      </c>
      <c r="P39" s="2">
        <f t="shared" si="8"/>
        <v>5.6888888888888891</v>
      </c>
      <c r="Q39">
        <v>1200</v>
      </c>
      <c r="R39">
        <v>1200</v>
      </c>
      <c r="S39" s="2">
        <f t="shared" si="9"/>
        <v>2400</v>
      </c>
      <c r="T39" s="2">
        <f t="shared" si="10"/>
        <v>19200</v>
      </c>
      <c r="U39" s="2">
        <f t="shared" si="11"/>
        <v>5.333333333333333</v>
      </c>
      <c r="V39">
        <v>960</v>
      </c>
      <c r="W39">
        <v>960</v>
      </c>
      <c r="X39" s="2">
        <f t="shared" si="12"/>
        <v>1920</v>
      </c>
      <c r="Y39" s="2">
        <f t="shared" si="13"/>
        <v>15360</v>
      </c>
      <c r="Z39" s="2">
        <f t="shared" si="14"/>
        <v>4.2666666666666666</v>
      </c>
      <c r="AA39">
        <v>1120</v>
      </c>
      <c r="AB39">
        <v>1120</v>
      </c>
      <c r="AC39" s="2">
        <f t="shared" si="15"/>
        <v>2240</v>
      </c>
      <c r="AD39" s="2">
        <f t="shared" si="16"/>
        <v>17920</v>
      </c>
      <c r="AE39" s="2">
        <f t="shared" si="17"/>
        <v>4.9777777777777779</v>
      </c>
      <c r="AF39">
        <v>880</v>
      </c>
      <c r="AG39">
        <v>880</v>
      </c>
      <c r="AH39" s="2">
        <f t="shared" si="18"/>
        <v>1760</v>
      </c>
      <c r="AI39" s="2">
        <f t="shared" si="19"/>
        <v>14080</v>
      </c>
      <c r="AJ39" s="2">
        <f t="shared" si="20"/>
        <v>3.911111111111111</v>
      </c>
      <c r="AK39">
        <v>1040</v>
      </c>
      <c r="AL39">
        <v>1040</v>
      </c>
      <c r="AM39" s="2">
        <f t="shared" si="21"/>
        <v>2080</v>
      </c>
      <c r="AN39" s="2">
        <f t="shared" si="22"/>
        <v>16640</v>
      </c>
      <c r="AO39" s="2">
        <f t="shared" si="23"/>
        <v>4.6222222222222218</v>
      </c>
      <c r="AP39">
        <v>880</v>
      </c>
      <c r="AQ39">
        <v>880</v>
      </c>
      <c r="AR39" s="2">
        <f t="shared" si="24"/>
        <v>1760</v>
      </c>
      <c r="AS39" s="2">
        <f t="shared" si="25"/>
        <v>14080</v>
      </c>
      <c r="AT39" s="2">
        <f t="shared" si="26"/>
        <v>3.911111111111111</v>
      </c>
      <c r="AU39">
        <v>1200</v>
      </c>
      <c r="AV39">
        <v>1200</v>
      </c>
      <c r="AW39" s="2">
        <f t="shared" si="27"/>
        <v>2400</v>
      </c>
      <c r="AX39" s="2">
        <f t="shared" si="28"/>
        <v>19200</v>
      </c>
      <c r="AY39" s="2">
        <f t="shared" si="29"/>
        <v>5.333333333333333</v>
      </c>
    </row>
    <row r="40" spans="1:51" x14ac:dyDescent="0.3">
      <c r="A40" s="2" t="s">
        <v>44</v>
      </c>
      <c r="B40">
        <v>960</v>
      </c>
      <c r="C40">
        <v>960</v>
      </c>
      <c r="D40" s="2">
        <f t="shared" si="0"/>
        <v>1920</v>
      </c>
      <c r="E40" s="2">
        <f t="shared" si="1"/>
        <v>15360</v>
      </c>
      <c r="F40" s="2">
        <f t="shared" si="2"/>
        <v>4.2666666666666666</v>
      </c>
      <c r="G40">
        <v>1120</v>
      </c>
      <c r="H40">
        <v>1120</v>
      </c>
      <c r="I40" s="2">
        <f t="shared" si="3"/>
        <v>2240</v>
      </c>
      <c r="J40" s="2">
        <f t="shared" si="4"/>
        <v>17920</v>
      </c>
      <c r="K40" s="2">
        <f t="shared" si="5"/>
        <v>4.9777777777777779</v>
      </c>
      <c r="L40">
        <v>1120</v>
      </c>
      <c r="M40">
        <v>1120</v>
      </c>
      <c r="N40" s="2">
        <f t="shared" si="6"/>
        <v>2240</v>
      </c>
      <c r="O40" s="2">
        <f t="shared" si="7"/>
        <v>17920</v>
      </c>
      <c r="P40" s="2">
        <f t="shared" si="8"/>
        <v>4.9777777777777779</v>
      </c>
      <c r="Q40">
        <v>1040</v>
      </c>
      <c r="R40">
        <v>1040</v>
      </c>
      <c r="S40" s="2">
        <f t="shared" si="9"/>
        <v>2080</v>
      </c>
      <c r="T40" s="2">
        <f t="shared" si="10"/>
        <v>16640</v>
      </c>
      <c r="U40" s="2">
        <f t="shared" si="11"/>
        <v>4.6222222222222218</v>
      </c>
      <c r="V40">
        <v>1120</v>
      </c>
      <c r="W40">
        <v>1120</v>
      </c>
      <c r="X40" s="2">
        <f t="shared" si="12"/>
        <v>2240</v>
      </c>
      <c r="Y40" s="2">
        <f t="shared" si="13"/>
        <v>17920</v>
      </c>
      <c r="Z40" s="2">
        <f t="shared" si="14"/>
        <v>4.9777777777777779</v>
      </c>
      <c r="AA40">
        <v>1040</v>
      </c>
      <c r="AB40">
        <v>1040</v>
      </c>
      <c r="AC40" s="2">
        <f t="shared" si="15"/>
        <v>2080</v>
      </c>
      <c r="AD40" s="2">
        <f t="shared" si="16"/>
        <v>16640</v>
      </c>
      <c r="AE40" s="2">
        <f t="shared" si="17"/>
        <v>4.6222222222222218</v>
      </c>
      <c r="AF40">
        <v>1040</v>
      </c>
      <c r="AG40">
        <v>1040</v>
      </c>
      <c r="AH40" s="2">
        <f t="shared" si="18"/>
        <v>2080</v>
      </c>
      <c r="AI40" s="2">
        <f t="shared" si="19"/>
        <v>16640</v>
      </c>
      <c r="AJ40" s="2">
        <f t="shared" si="20"/>
        <v>4.6222222222222218</v>
      </c>
      <c r="AK40">
        <v>960</v>
      </c>
      <c r="AL40">
        <v>960</v>
      </c>
      <c r="AM40" s="2">
        <f t="shared" si="21"/>
        <v>1920</v>
      </c>
      <c r="AN40" s="2">
        <f t="shared" si="22"/>
        <v>15360</v>
      </c>
      <c r="AO40" s="2">
        <f t="shared" si="23"/>
        <v>4.2666666666666666</v>
      </c>
      <c r="AP40">
        <v>1120</v>
      </c>
      <c r="AQ40">
        <v>1120</v>
      </c>
      <c r="AR40" s="2">
        <f t="shared" si="24"/>
        <v>2240</v>
      </c>
      <c r="AS40" s="2">
        <f t="shared" si="25"/>
        <v>17920</v>
      </c>
      <c r="AT40" s="2">
        <f t="shared" si="26"/>
        <v>4.9777777777777779</v>
      </c>
      <c r="AU40">
        <v>1280</v>
      </c>
      <c r="AV40">
        <v>1280</v>
      </c>
      <c r="AW40" s="2">
        <f t="shared" si="27"/>
        <v>2560</v>
      </c>
      <c r="AX40" s="2">
        <f t="shared" si="28"/>
        <v>20480</v>
      </c>
      <c r="AY40" s="2">
        <f t="shared" si="29"/>
        <v>5.6888888888888891</v>
      </c>
    </row>
    <row r="41" spans="1:51" x14ac:dyDescent="0.3">
      <c r="A41" s="2" t="s">
        <v>45</v>
      </c>
      <c r="B41">
        <v>960</v>
      </c>
      <c r="C41">
        <v>960</v>
      </c>
      <c r="D41" s="2">
        <f t="shared" si="0"/>
        <v>1920</v>
      </c>
      <c r="E41" s="2">
        <f t="shared" si="1"/>
        <v>15360</v>
      </c>
      <c r="F41" s="2">
        <f t="shared" si="2"/>
        <v>4.2666666666666666</v>
      </c>
      <c r="G41">
        <v>1040</v>
      </c>
      <c r="H41">
        <v>1040</v>
      </c>
      <c r="I41" s="2">
        <f t="shared" si="3"/>
        <v>2080</v>
      </c>
      <c r="J41" s="2">
        <f t="shared" si="4"/>
        <v>16640</v>
      </c>
      <c r="K41" s="2">
        <f t="shared" si="5"/>
        <v>4.6222222222222218</v>
      </c>
      <c r="L41">
        <v>880</v>
      </c>
      <c r="M41">
        <v>880</v>
      </c>
      <c r="N41" s="2">
        <f t="shared" si="6"/>
        <v>1760</v>
      </c>
      <c r="O41" s="2">
        <f t="shared" si="7"/>
        <v>14080</v>
      </c>
      <c r="P41" s="2">
        <f t="shared" si="8"/>
        <v>3.911111111111111</v>
      </c>
      <c r="Q41">
        <v>1120</v>
      </c>
      <c r="R41">
        <v>1120</v>
      </c>
      <c r="S41" s="2">
        <f t="shared" si="9"/>
        <v>2240</v>
      </c>
      <c r="T41" s="2">
        <f t="shared" si="10"/>
        <v>17920</v>
      </c>
      <c r="U41" s="2">
        <f t="shared" si="11"/>
        <v>4.9777777777777779</v>
      </c>
      <c r="V41">
        <v>1040</v>
      </c>
      <c r="W41">
        <v>1040</v>
      </c>
      <c r="X41" s="2">
        <f t="shared" si="12"/>
        <v>2080</v>
      </c>
      <c r="Y41" s="2">
        <f t="shared" si="13"/>
        <v>16640</v>
      </c>
      <c r="Z41" s="2">
        <f t="shared" si="14"/>
        <v>4.6222222222222218</v>
      </c>
      <c r="AA41">
        <v>1040</v>
      </c>
      <c r="AB41">
        <v>1040</v>
      </c>
      <c r="AC41" s="2">
        <f t="shared" si="15"/>
        <v>2080</v>
      </c>
      <c r="AD41" s="2">
        <f t="shared" si="16"/>
        <v>16640</v>
      </c>
      <c r="AE41" s="2">
        <f t="shared" si="17"/>
        <v>4.6222222222222218</v>
      </c>
      <c r="AF41">
        <v>960</v>
      </c>
      <c r="AG41">
        <v>960</v>
      </c>
      <c r="AH41" s="2">
        <f t="shared" si="18"/>
        <v>1920</v>
      </c>
      <c r="AI41" s="2">
        <f t="shared" si="19"/>
        <v>15360</v>
      </c>
      <c r="AJ41" s="2">
        <f t="shared" si="20"/>
        <v>4.2666666666666666</v>
      </c>
      <c r="AK41">
        <v>1040</v>
      </c>
      <c r="AL41">
        <v>1040</v>
      </c>
      <c r="AM41" s="2">
        <f t="shared" si="21"/>
        <v>2080</v>
      </c>
      <c r="AN41" s="2">
        <f t="shared" si="22"/>
        <v>16640</v>
      </c>
      <c r="AO41" s="2">
        <f t="shared" si="23"/>
        <v>4.6222222222222218</v>
      </c>
      <c r="AP41">
        <v>1040</v>
      </c>
      <c r="AQ41">
        <v>1040</v>
      </c>
      <c r="AR41" s="2">
        <f t="shared" si="24"/>
        <v>2080</v>
      </c>
      <c r="AS41" s="2">
        <f t="shared" si="25"/>
        <v>16640</v>
      </c>
      <c r="AT41" s="2">
        <f t="shared" si="26"/>
        <v>4.6222222222222218</v>
      </c>
      <c r="AU41">
        <v>1040</v>
      </c>
      <c r="AV41">
        <v>1040</v>
      </c>
      <c r="AW41" s="2">
        <f t="shared" si="27"/>
        <v>2080</v>
      </c>
      <c r="AX41" s="2">
        <f t="shared" si="28"/>
        <v>16640</v>
      </c>
      <c r="AY41" s="2">
        <f t="shared" si="29"/>
        <v>4.6222222222222218</v>
      </c>
    </row>
    <row r="42" spans="1:51" x14ac:dyDescent="0.3">
      <c r="A42" s="2" t="s">
        <v>46</v>
      </c>
      <c r="B42">
        <v>1040</v>
      </c>
      <c r="C42">
        <v>1040</v>
      </c>
      <c r="D42" s="2">
        <f t="shared" si="0"/>
        <v>2080</v>
      </c>
      <c r="E42" s="2">
        <f t="shared" si="1"/>
        <v>16640</v>
      </c>
      <c r="F42" s="2">
        <f t="shared" si="2"/>
        <v>4.6222222222222218</v>
      </c>
      <c r="G42">
        <v>1040</v>
      </c>
      <c r="H42">
        <v>1040</v>
      </c>
      <c r="I42" s="2">
        <f t="shared" si="3"/>
        <v>2080</v>
      </c>
      <c r="J42" s="2">
        <f t="shared" si="4"/>
        <v>16640</v>
      </c>
      <c r="K42" s="2">
        <f t="shared" si="5"/>
        <v>4.6222222222222218</v>
      </c>
      <c r="L42">
        <v>1200</v>
      </c>
      <c r="M42">
        <v>1200</v>
      </c>
      <c r="N42" s="2">
        <f t="shared" si="6"/>
        <v>2400</v>
      </c>
      <c r="O42" s="2">
        <f t="shared" si="7"/>
        <v>19200</v>
      </c>
      <c r="P42" s="2">
        <f t="shared" si="8"/>
        <v>5.333333333333333</v>
      </c>
      <c r="Q42">
        <v>960</v>
      </c>
      <c r="R42">
        <v>960</v>
      </c>
      <c r="S42" s="2">
        <f t="shared" si="9"/>
        <v>1920</v>
      </c>
      <c r="T42" s="2">
        <f t="shared" si="10"/>
        <v>15360</v>
      </c>
      <c r="U42" s="2">
        <f t="shared" si="11"/>
        <v>4.2666666666666666</v>
      </c>
      <c r="V42">
        <v>1200</v>
      </c>
      <c r="W42">
        <v>1200</v>
      </c>
      <c r="X42" s="2">
        <f t="shared" si="12"/>
        <v>2400</v>
      </c>
      <c r="Y42" s="2">
        <f t="shared" si="13"/>
        <v>19200</v>
      </c>
      <c r="Z42" s="2">
        <f t="shared" si="14"/>
        <v>5.333333333333333</v>
      </c>
      <c r="AA42">
        <v>1040</v>
      </c>
      <c r="AB42">
        <v>1040</v>
      </c>
      <c r="AC42" s="2">
        <f t="shared" si="15"/>
        <v>2080</v>
      </c>
      <c r="AD42" s="2">
        <f t="shared" si="16"/>
        <v>16640</v>
      </c>
      <c r="AE42" s="2">
        <f t="shared" si="17"/>
        <v>4.6222222222222218</v>
      </c>
      <c r="AF42">
        <v>1120</v>
      </c>
      <c r="AG42">
        <v>1120</v>
      </c>
      <c r="AH42" s="2">
        <f t="shared" si="18"/>
        <v>2240</v>
      </c>
      <c r="AI42" s="2">
        <f t="shared" si="19"/>
        <v>17920</v>
      </c>
      <c r="AJ42" s="2">
        <f t="shared" si="20"/>
        <v>4.9777777777777779</v>
      </c>
      <c r="AK42">
        <v>1040</v>
      </c>
      <c r="AL42">
        <v>1040</v>
      </c>
      <c r="AM42" s="2">
        <f t="shared" si="21"/>
        <v>2080</v>
      </c>
      <c r="AN42" s="2">
        <f t="shared" si="22"/>
        <v>16640</v>
      </c>
      <c r="AO42" s="2">
        <f t="shared" si="23"/>
        <v>4.6222222222222218</v>
      </c>
      <c r="AP42">
        <v>1120</v>
      </c>
      <c r="AQ42">
        <v>1120</v>
      </c>
      <c r="AR42" s="2">
        <f t="shared" si="24"/>
        <v>2240</v>
      </c>
      <c r="AS42" s="2">
        <f t="shared" si="25"/>
        <v>17920</v>
      </c>
      <c r="AT42" s="2">
        <f t="shared" si="26"/>
        <v>4.9777777777777779</v>
      </c>
      <c r="AU42">
        <v>1040</v>
      </c>
      <c r="AV42">
        <v>1040</v>
      </c>
      <c r="AW42" s="2">
        <f t="shared" si="27"/>
        <v>2080</v>
      </c>
      <c r="AX42" s="2">
        <f t="shared" si="28"/>
        <v>16640</v>
      </c>
      <c r="AY42" s="2">
        <f t="shared" si="29"/>
        <v>4.6222222222222218</v>
      </c>
    </row>
    <row r="43" spans="1:51" x14ac:dyDescent="0.3">
      <c r="A43" s="2" t="s">
        <v>47</v>
      </c>
      <c r="B43">
        <v>1120</v>
      </c>
      <c r="C43">
        <v>1120</v>
      </c>
      <c r="D43" s="2">
        <f t="shared" si="0"/>
        <v>2240</v>
      </c>
      <c r="E43" s="2">
        <f t="shared" si="1"/>
        <v>17920</v>
      </c>
      <c r="F43" s="2">
        <f t="shared" si="2"/>
        <v>4.9777777777777779</v>
      </c>
      <c r="G43">
        <v>1200</v>
      </c>
      <c r="H43">
        <v>1200</v>
      </c>
      <c r="I43" s="2">
        <f t="shared" si="3"/>
        <v>2400</v>
      </c>
      <c r="J43" s="2">
        <f t="shared" si="4"/>
        <v>19200</v>
      </c>
      <c r="K43" s="2">
        <f t="shared" si="5"/>
        <v>5.333333333333333</v>
      </c>
      <c r="L43">
        <v>1120</v>
      </c>
      <c r="M43">
        <v>1120</v>
      </c>
      <c r="N43" s="2">
        <f t="shared" si="6"/>
        <v>2240</v>
      </c>
      <c r="O43" s="2">
        <f t="shared" si="7"/>
        <v>17920</v>
      </c>
      <c r="P43" s="2">
        <f t="shared" si="8"/>
        <v>4.9777777777777779</v>
      </c>
      <c r="Q43">
        <v>1040</v>
      </c>
      <c r="R43">
        <v>1040</v>
      </c>
      <c r="S43" s="2">
        <f t="shared" si="9"/>
        <v>2080</v>
      </c>
      <c r="T43" s="2">
        <f t="shared" si="10"/>
        <v>16640</v>
      </c>
      <c r="U43" s="2">
        <f t="shared" si="11"/>
        <v>4.6222222222222218</v>
      </c>
      <c r="V43">
        <v>1120</v>
      </c>
      <c r="W43">
        <v>1120</v>
      </c>
      <c r="X43" s="2">
        <f t="shared" si="12"/>
        <v>2240</v>
      </c>
      <c r="Y43" s="2">
        <f t="shared" si="13"/>
        <v>17920</v>
      </c>
      <c r="Z43" s="2">
        <f t="shared" si="14"/>
        <v>4.9777777777777779</v>
      </c>
      <c r="AA43">
        <v>1200</v>
      </c>
      <c r="AB43">
        <v>1200</v>
      </c>
      <c r="AC43" s="2">
        <f t="shared" si="15"/>
        <v>2400</v>
      </c>
      <c r="AD43" s="2">
        <f t="shared" si="16"/>
        <v>19200</v>
      </c>
      <c r="AE43" s="2">
        <f t="shared" si="17"/>
        <v>5.333333333333333</v>
      </c>
      <c r="AF43">
        <v>1120</v>
      </c>
      <c r="AG43">
        <v>1120</v>
      </c>
      <c r="AH43" s="2">
        <f t="shared" si="18"/>
        <v>2240</v>
      </c>
      <c r="AI43" s="2">
        <f t="shared" si="19"/>
        <v>17920</v>
      </c>
      <c r="AJ43" s="2">
        <f t="shared" si="20"/>
        <v>4.9777777777777779</v>
      </c>
      <c r="AK43">
        <v>960</v>
      </c>
      <c r="AL43">
        <v>960</v>
      </c>
      <c r="AM43" s="2">
        <f t="shared" si="21"/>
        <v>1920</v>
      </c>
      <c r="AN43" s="2">
        <f t="shared" si="22"/>
        <v>15360</v>
      </c>
      <c r="AO43" s="2">
        <f t="shared" si="23"/>
        <v>4.2666666666666666</v>
      </c>
      <c r="AP43">
        <v>1200</v>
      </c>
      <c r="AQ43">
        <v>1200</v>
      </c>
      <c r="AR43" s="2">
        <f t="shared" si="24"/>
        <v>2400</v>
      </c>
      <c r="AS43" s="2">
        <f t="shared" si="25"/>
        <v>19200</v>
      </c>
      <c r="AT43" s="2">
        <f t="shared" si="26"/>
        <v>5.333333333333333</v>
      </c>
      <c r="AU43">
        <v>960</v>
      </c>
      <c r="AV43">
        <v>960</v>
      </c>
      <c r="AW43" s="2">
        <f t="shared" si="27"/>
        <v>1920</v>
      </c>
      <c r="AX43" s="2">
        <f t="shared" si="28"/>
        <v>15360</v>
      </c>
      <c r="AY43" s="2">
        <f t="shared" si="29"/>
        <v>4.2666666666666666</v>
      </c>
    </row>
    <row r="44" spans="1:51" x14ac:dyDescent="0.3">
      <c r="A44" s="2" t="s">
        <v>48</v>
      </c>
      <c r="B44">
        <v>1200</v>
      </c>
      <c r="C44">
        <v>1200</v>
      </c>
      <c r="D44" s="2">
        <f t="shared" si="0"/>
        <v>2400</v>
      </c>
      <c r="E44" s="2">
        <f t="shared" si="1"/>
        <v>19200</v>
      </c>
      <c r="F44" s="2">
        <f t="shared" si="2"/>
        <v>5.333333333333333</v>
      </c>
      <c r="G44">
        <v>1120</v>
      </c>
      <c r="H44">
        <v>1120</v>
      </c>
      <c r="I44" s="2">
        <f t="shared" si="3"/>
        <v>2240</v>
      </c>
      <c r="J44" s="2">
        <f t="shared" si="4"/>
        <v>17920</v>
      </c>
      <c r="K44" s="2">
        <f t="shared" si="5"/>
        <v>4.9777777777777779</v>
      </c>
      <c r="L44">
        <v>880</v>
      </c>
      <c r="M44">
        <v>880</v>
      </c>
      <c r="N44" s="2">
        <f t="shared" si="6"/>
        <v>1760</v>
      </c>
      <c r="O44" s="2">
        <f t="shared" si="7"/>
        <v>14080</v>
      </c>
      <c r="P44" s="2">
        <f t="shared" si="8"/>
        <v>3.911111111111111</v>
      </c>
      <c r="Q44">
        <v>1040</v>
      </c>
      <c r="R44">
        <v>1040</v>
      </c>
      <c r="S44" s="2">
        <f t="shared" si="9"/>
        <v>2080</v>
      </c>
      <c r="T44" s="2">
        <f t="shared" si="10"/>
        <v>16640</v>
      </c>
      <c r="U44" s="2">
        <f t="shared" si="11"/>
        <v>4.6222222222222218</v>
      </c>
      <c r="V44">
        <v>1280</v>
      </c>
      <c r="W44">
        <v>1280</v>
      </c>
      <c r="X44" s="2">
        <f t="shared" si="12"/>
        <v>2560</v>
      </c>
      <c r="Y44" s="2">
        <f t="shared" si="13"/>
        <v>20480</v>
      </c>
      <c r="Z44" s="2">
        <f t="shared" si="14"/>
        <v>5.6888888888888891</v>
      </c>
      <c r="AA44">
        <v>1120</v>
      </c>
      <c r="AB44">
        <v>1120</v>
      </c>
      <c r="AC44" s="2">
        <f t="shared" si="15"/>
        <v>2240</v>
      </c>
      <c r="AD44" s="2">
        <f t="shared" si="16"/>
        <v>17920</v>
      </c>
      <c r="AE44" s="2">
        <f t="shared" si="17"/>
        <v>4.9777777777777779</v>
      </c>
      <c r="AF44">
        <v>1120</v>
      </c>
      <c r="AG44">
        <v>1120</v>
      </c>
      <c r="AH44" s="2">
        <f t="shared" si="18"/>
        <v>2240</v>
      </c>
      <c r="AI44" s="2">
        <f t="shared" si="19"/>
        <v>17920</v>
      </c>
      <c r="AJ44" s="2">
        <f t="shared" si="20"/>
        <v>4.9777777777777779</v>
      </c>
      <c r="AK44">
        <v>1040</v>
      </c>
      <c r="AL44">
        <v>1040</v>
      </c>
      <c r="AM44" s="2">
        <f t="shared" si="21"/>
        <v>2080</v>
      </c>
      <c r="AN44" s="2">
        <f t="shared" si="22"/>
        <v>16640</v>
      </c>
      <c r="AO44" s="2">
        <f t="shared" si="23"/>
        <v>4.6222222222222218</v>
      </c>
      <c r="AP44">
        <v>1200</v>
      </c>
      <c r="AQ44">
        <v>1200</v>
      </c>
      <c r="AR44" s="2">
        <f t="shared" si="24"/>
        <v>2400</v>
      </c>
      <c r="AS44" s="2">
        <f t="shared" si="25"/>
        <v>19200</v>
      </c>
      <c r="AT44" s="2">
        <f t="shared" si="26"/>
        <v>5.333333333333333</v>
      </c>
      <c r="AU44">
        <v>960</v>
      </c>
      <c r="AV44">
        <v>960</v>
      </c>
      <c r="AW44" s="2">
        <f t="shared" si="27"/>
        <v>1920</v>
      </c>
      <c r="AX44" s="2">
        <f t="shared" si="28"/>
        <v>15360</v>
      </c>
      <c r="AY44" s="2">
        <f t="shared" si="29"/>
        <v>4.2666666666666666</v>
      </c>
    </row>
    <row r="45" spans="1:51" x14ac:dyDescent="0.3">
      <c r="A45" s="2" t="s">
        <v>49</v>
      </c>
      <c r="B45">
        <v>1120</v>
      </c>
      <c r="C45">
        <v>1120</v>
      </c>
      <c r="D45" s="2">
        <f t="shared" si="0"/>
        <v>2240</v>
      </c>
      <c r="E45" s="2">
        <f t="shared" si="1"/>
        <v>17920</v>
      </c>
      <c r="F45" s="2">
        <f t="shared" si="2"/>
        <v>4.9777777777777779</v>
      </c>
      <c r="G45">
        <v>1120</v>
      </c>
      <c r="H45">
        <v>1120</v>
      </c>
      <c r="I45" s="2">
        <f t="shared" si="3"/>
        <v>2240</v>
      </c>
      <c r="J45" s="2">
        <f t="shared" si="4"/>
        <v>17920</v>
      </c>
      <c r="K45" s="2">
        <f t="shared" si="5"/>
        <v>4.9777777777777779</v>
      </c>
      <c r="L45">
        <v>1200</v>
      </c>
      <c r="M45">
        <v>1200</v>
      </c>
      <c r="N45" s="2">
        <f t="shared" si="6"/>
        <v>2400</v>
      </c>
      <c r="O45" s="2">
        <f t="shared" si="7"/>
        <v>19200</v>
      </c>
      <c r="P45" s="2">
        <f t="shared" si="8"/>
        <v>5.333333333333333</v>
      </c>
      <c r="Q45">
        <v>960</v>
      </c>
      <c r="R45">
        <v>960</v>
      </c>
      <c r="S45" s="2">
        <f t="shared" si="9"/>
        <v>1920</v>
      </c>
      <c r="T45" s="2">
        <f t="shared" si="10"/>
        <v>15360</v>
      </c>
      <c r="U45" s="2">
        <f t="shared" si="11"/>
        <v>4.2666666666666666</v>
      </c>
      <c r="V45">
        <v>880</v>
      </c>
      <c r="W45">
        <v>880</v>
      </c>
      <c r="X45" s="2">
        <f t="shared" si="12"/>
        <v>1760</v>
      </c>
      <c r="Y45" s="2">
        <f t="shared" si="13"/>
        <v>14080</v>
      </c>
      <c r="Z45" s="2">
        <f t="shared" si="14"/>
        <v>3.911111111111111</v>
      </c>
      <c r="AA45">
        <v>960</v>
      </c>
      <c r="AB45">
        <v>960</v>
      </c>
      <c r="AC45" s="2">
        <f t="shared" si="15"/>
        <v>1920</v>
      </c>
      <c r="AD45" s="2">
        <f t="shared" si="16"/>
        <v>15360</v>
      </c>
      <c r="AE45" s="2">
        <f t="shared" si="17"/>
        <v>4.2666666666666666</v>
      </c>
      <c r="AF45">
        <v>1040</v>
      </c>
      <c r="AG45">
        <v>1040</v>
      </c>
      <c r="AH45" s="2">
        <f t="shared" si="18"/>
        <v>2080</v>
      </c>
      <c r="AI45" s="2">
        <f t="shared" si="19"/>
        <v>16640</v>
      </c>
      <c r="AJ45" s="2">
        <f t="shared" si="20"/>
        <v>4.6222222222222218</v>
      </c>
      <c r="AK45">
        <v>960</v>
      </c>
      <c r="AL45">
        <v>960</v>
      </c>
      <c r="AM45" s="2">
        <f t="shared" si="21"/>
        <v>1920</v>
      </c>
      <c r="AN45" s="2">
        <f t="shared" si="22"/>
        <v>15360</v>
      </c>
      <c r="AO45" s="2">
        <f t="shared" si="23"/>
        <v>4.2666666666666666</v>
      </c>
      <c r="AP45">
        <v>1120</v>
      </c>
      <c r="AQ45">
        <v>1120</v>
      </c>
      <c r="AR45" s="2">
        <f t="shared" si="24"/>
        <v>2240</v>
      </c>
      <c r="AS45" s="2">
        <f t="shared" si="25"/>
        <v>17920</v>
      </c>
      <c r="AT45" s="2">
        <f t="shared" si="26"/>
        <v>4.9777777777777779</v>
      </c>
      <c r="AU45">
        <v>1200</v>
      </c>
      <c r="AV45">
        <v>1200</v>
      </c>
      <c r="AW45" s="2">
        <f t="shared" si="27"/>
        <v>2400</v>
      </c>
      <c r="AX45" s="2">
        <f t="shared" si="28"/>
        <v>19200</v>
      </c>
      <c r="AY45" s="2">
        <f t="shared" si="29"/>
        <v>5.333333333333333</v>
      </c>
    </row>
    <row r="46" spans="1:51" x14ac:dyDescent="0.3">
      <c r="A46" s="2" t="s">
        <v>50</v>
      </c>
      <c r="B46">
        <v>1200</v>
      </c>
      <c r="C46">
        <v>1200</v>
      </c>
      <c r="D46" s="2">
        <f t="shared" si="0"/>
        <v>2400</v>
      </c>
      <c r="E46" s="2">
        <f t="shared" si="1"/>
        <v>19200</v>
      </c>
      <c r="F46" s="2">
        <f t="shared" si="2"/>
        <v>5.333333333333333</v>
      </c>
      <c r="G46">
        <v>1280</v>
      </c>
      <c r="H46">
        <v>1280</v>
      </c>
      <c r="I46" s="2">
        <f t="shared" si="3"/>
        <v>2560</v>
      </c>
      <c r="J46" s="2">
        <f t="shared" si="4"/>
        <v>20480</v>
      </c>
      <c r="K46" s="2">
        <f t="shared" si="5"/>
        <v>5.6888888888888891</v>
      </c>
      <c r="L46">
        <v>1120</v>
      </c>
      <c r="M46">
        <v>1120</v>
      </c>
      <c r="N46" s="2">
        <f t="shared" si="6"/>
        <v>2240</v>
      </c>
      <c r="O46" s="2">
        <f t="shared" si="7"/>
        <v>17920</v>
      </c>
      <c r="P46" s="2">
        <f t="shared" si="8"/>
        <v>4.9777777777777779</v>
      </c>
      <c r="Q46">
        <v>1040</v>
      </c>
      <c r="R46">
        <v>1040</v>
      </c>
      <c r="S46" s="2">
        <f t="shared" si="9"/>
        <v>2080</v>
      </c>
      <c r="T46" s="2">
        <f t="shared" si="10"/>
        <v>16640</v>
      </c>
      <c r="U46" s="2">
        <f t="shared" si="11"/>
        <v>4.6222222222222218</v>
      </c>
      <c r="V46">
        <v>1200</v>
      </c>
      <c r="W46">
        <v>1200</v>
      </c>
      <c r="X46" s="2">
        <f t="shared" si="12"/>
        <v>2400</v>
      </c>
      <c r="Y46" s="2">
        <f t="shared" si="13"/>
        <v>19200</v>
      </c>
      <c r="Z46" s="2">
        <f t="shared" si="14"/>
        <v>5.333333333333333</v>
      </c>
      <c r="AA46">
        <v>1040</v>
      </c>
      <c r="AB46">
        <v>1040</v>
      </c>
      <c r="AC46" s="2">
        <f t="shared" si="15"/>
        <v>2080</v>
      </c>
      <c r="AD46" s="2">
        <f t="shared" si="16"/>
        <v>16640</v>
      </c>
      <c r="AE46" s="2">
        <f t="shared" si="17"/>
        <v>4.6222222222222218</v>
      </c>
      <c r="AF46">
        <v>1040</v>
      </c>
      <c r="AG46">
        <v>1040</v>
      </c>
      <c r="AH46" s="2">
        <f t="shared" si="18"/>
        <v>2080</v>
      </c>
      <c r="AI46" s="2">
        <f t="shared" si="19"/>
        <v>16640</v>
      </c>
      <c r="AJ46" s="2">
        <f t="shared" si="20"/>
        <v>4.6222222222222218</v>
      </c>
      <c r="AK46">
        <v>1200</v>
      </c>
      <c r="AL46">
        <v>1200</v>
      </c>
      <c r="AM46" s="2">
        <f t="shared" si="21"/>
        <v>2400</v>
      </c>
      <c r="AN46" s="2">
        <f t="shared" si="22"/>
        <v>19200</v>
      </c>
      <c r="AO46" s="2">
        <f t="shared" si="23"/>
        <v>5.333333333333333</v>
      </c>
      <c r="AP46">
        <v>1120</v>
      </c>
      <c r="AQ46">
        <v>1120</v>
      </c>
      <c r="AR46" s="2">
        <f t="shared" si="24"/>
        <v>2240</v>
      </c>
      <c r="AS46" s="2">
        <f t="shared" si="25"/>
        <v>17920</v>
      </c>
      <c r="AT46" s="2">
        <f t="shared" si="26"/>
        <v>4.9777777777777779</v>
      </c>
      <c r="AU46">
        <v>1200</v>
      </c>
      <c r="AV46">
        <v>1200</v>
      </c>
      <c r="AW46" s="2">
        <f t="shared" si="27"/>
        <v>2400</v>
      </c>
      <c r="AX46" s="2">
        <f t="shared" si="28"/>
        <v>19200</v>
      </c>
      <c r="AY46" s="2">
        <f t="shared" si="29"/>
        <v>5.333333333333333</v>
      </c>
    </row>
    <row r="47" spans="1:51" x14ac:dyDescent="0.3">
      <c r="A47" s="2" t="s">
        <v>51</v>
      </c>
      <c r="B47">
        <v>960</v>
      </c>
      <c r="C47">
        <v>960</v>
      </c>
      <c r="D47" s="2">
        <f t="shared" si="0"/>
        <v>1920</v>
      </c>
      <c r="E47" s="2">
        <f t="shared" si="1"/>
        <v>15360</v>
      </c>
      <c r="F47" s="2">
        <f t="shared" si="2"/>
        <v>4.2666666666666666</v>
      </c>
      <c r="G47">
        <v>1120</v>
      </c>
      <c r="H47">
        <v>1120</v>
      </c>
      <c r="I47" s="2">
        <f t="shared" si="3"/>
        <v>2240</v>
      </c>
      <c r="J47" s="2">
        <f t="shared" si="4"/>
        <v>17920</v>
      </c>
      <c r="K47" s="2">
        <f t="shared" si="5"/>
        <v>4.9777777777777779</v>
      </c>
      <c r="L47">
        <v>1280</v>
      </c>
      <c r="M47">
        <v>1280</v>
      </c>
      <c r="N47" s="2">
        <f t="shared" si="6"/>
        <v>2560</v>
      </c>
      <c r="O47" s="2">
        <f t="shared" si="7"/>
        <v>20480</v>
      </c>
      <c r="P47" s="2">
        <f t="shared" si="8"/>
        <v>5.6888888888888891</v>
      </c>
      <c r="Q47">
        <v>1120</v>
      </c>
      <c r="R47">
        <v>1120</v>
      </c>
      <c r="S47" s="2">
        <f t="shared" si="9"/>
        <v>2240</v>
      </c>
      <c r="T47" s="2">
        <f t="shared" si="10"/>
        <v>17920</v>
      </c>
      <c r="U47" s="2">
        <f t="shared" si="11"/>
        <v>4.9777777777777779</v>
      </c>
      <c r="V47">
        <v>1040</v>
      </c>
      <c r="W47">
        <v>1040</v>
      </c>
      <c r="X47" s="2">
        <f t="shared" si="12"/>
        <v>2080</v>
      </c>
      <c r="Y47" s="2">
        <f t="shared" si="13"/>
        <v>16640</v>
      </c>
      <c r="Z47" s="2">
        <f t="shared" si="14"/>
        <v>4.6222222222222218</v>
      </c>
      <c r="AA47">
        <v>1200</v>
      </c>
      <c r="AB47">
        <v>1200</v>
      </c>
      <c r="AC47" s="2">
        <f t="shared" si="15"/>
        <v>2400</v>
      </c>
      <c r="AD47" s="2">
        <f t="shared" si="16"/>
        <v>19200</v>
      </c>
      <c r="AE47" s="2">
        <f t="shared" si="17"/>
        <v>5.333333333333333</v>
      </c>
      <c r="AF47">
        <v>1200</v>
      </c>
      <c r="AG47">
        <v>1200</v>
      </c>
      <c r="AH47" s="2">
        <f t="shared" si="18"/>
        <v>2400</v>
      </c>
      <c r="AI47" s="2">
        <f t="shared" si="19"/>
        <v>19200</v>
      </c>
      <c r="AJ47" s="2">
        <f t="shared" si="20"/>
        <v>5.333333333333333</v>
      </c>
      <c r="AK47">
        <v>1120</v>
      </c>
      <c r="AL47">
        <v>1120</v>
      </c>
      <c r="AM47" s="2">
        <f t="shared" si="21"/>
        <v>2240</v>
      </c>
      <c r="AN47" s="2">
        <f t="shared" si="22"/>
        <v>17920</v>
      </c>
      <c r="AO47" s="2">
        <f t="shared" si="23"/>
        <v>4.9777777777777779</v>
      </c>
      <c r="AP47">
        <v>960</v>
      </c>
      <c r="AQ47">
        <v>960</v>
      </c>
      <c r="AR47" s="2">
        <f t="shared" si="24"/>
        <v>1920</v>
      </c>
      <c r="AS47" s="2">
        <f t="shared" si="25"/>
        <v>15360</v>
      </c>
      <c r="AT47" s="2">
        <f t="shared" si="26"/>
        <v>4.2666666666666666</v>
      </c>
      <c r="AU47">
        <v>1040</v>
      </c>
      <c r="AV47">
        <v>1040</v>
      </c>
      <c r="AW47" s="2">
        <f t="shared" si="27"/>
        <v>2080</v>
      </c>
      <c r="AX47" s="2">
        <f t="shared" si="28"/>
        <v>16640</v>
      </c>
      <c r="AY47" s="2">
        <f t="shared" si="29"/>
        <v>4.6222222222222218</v>
      </c>
    </row>
    <row r="48" spans="1:51" x14ac:dyDescent="0.3">
      <c r="A48" s="2" t="s">
        <v>52</v>
      </c>
      <c r="B48">
        <v>1120</v>
      </c>
      <c r="C48">
        <v>1120</v>
      </c>
      <c r="D48" s="2">
        <f t="shared" si="0"/>
        <v>2240</v>
      </c>
      <c r="E48" s="2">
        <f t="shared" si="1"/>
        <v>17920</v>
      </c>
      <c r="F48" s="2">
        <f t="shared" si="2"/>
        <v>4.9777777777777779</v>
      </c>
      <c r="G48">
        <v>800</v>
      </c>
      <c r="H48">
        <v>800</v>
      </c>
      <c r="I48" s="2">
        <f t="shared" si="3"/>
        <v>1600</v>
      </c>
      <c r="J48" s="2">
        <f t="shared" si="4"/>
        <v>12800</v>
      </c>
      <c r="K48" s="2">
        <f t="shared" si="5"/>
        <v>3.5555555555555554</v>
      </c>
      <c r="L48">
        <v>1120</v>
      </c>
      <c r="M48">
        <v>1120</v>
      </c>
      <c r="N48" s="2">
        <f t="shared" si="6"/>
        <v>2240</v>
      </c>
      <c r="O48" s="2">
        <f t="shared" si="7"/>
        <v>17920</v>
      </c>
      <c r="P48" s="2">
        <f t="shared" si="8"/>
        <v>4.9777777777777779</v>
      </c>
      <c r="Q48">
        <v>880</v>
      </c>
      <c r="R48">
        <v>880</v>
      </c>
      <c r="S48" s="2">
        <f t="shared" si="9"/>
        <v>1760</v>
      </c>
      <c r="T48" s="2">
        <f t="shared" si="10"/>
        <v>14080</v>
      </c>
      <c r="U48" s="2">
        <f t="shared" si="11"/>
        <v>3.911111111111111</v>
      </c>
      <c r="V48">
        <v>960</v>
      </c>
      <c r="W48">
        <v>960</v>
      </c>
      <c r="X48" s="2">
        <f t="shared" si="12"/>
        <v>1920</v>
      </c>
      <c r="Y48" s="2">
        <f t="shared" si="13"/>
        <v>15360</v>
      </c>
      <c r="Z48" s="2">
        <f t="shared" si="14"/>
        <v>4.2666666666666666</v>
      </c>
      <c r="AA48">
        <v>880</v>
      </c>
      <c r="AB48">
        <v>880</v>
      </c>
      <c r="AC48" s="2">
        <f t="shared" si="15"/>
        <v>1760</v>
      </c>
      <c r="AD48" s="2">
        <f t="shared" si="16"/>
        <v>14080</v>
      </c>
      <c r="AE48" s="2">
        <f t="shared" si="17"/>
        <v>3.911111111111111</v>
      </c>
      <c r="AF48">
        <v>960</v>
      </c>
      <c r="AG48">
        <v>960</v>
      </c>
      <c r="AH48" s="2">
        <f t="shared" si="18"/>
        <v>1920</v>
      </c>
      <c r="AI48" s="2">
        <f t="shared" si="19"/>
        <v>15360</v>
      </c>
      <c r="AJ48" s="2">
        <f t="shared" si="20"/>
        <v>4.2666666666666666</v>
      </c>
      <c r="AK48">
        <v>1040</v>
      </c>
      <c r="AL48">
        <v>1040</v>
      </c>
      <c r="AM48" s="2">
        <f t="shared" si="21"/>
        <v>2080</v>
      </c>
      <c r="AN48" s="2">
        <f t="shared" si="22"/>
        <v>16640</v>
      </c>
      <c r="AO48" s="2">
        <f t="shared" si="23"/>
        <v>4.6222222222222218</v>
      </c>
      <c r="AP48">
        <v>1040</v>
      </c>
      <c r="AQ48">
        <v>1040</v>
      </c>
      <c r="AR48" s="2">
        <f t="shared" si="24"/>
        <v>2080</v>
      </c>
      <c r="AS48" s="2">
        <f t="shared" si="25"/>
        <v>16640</v>
      </c>
      <c r="AT48" s="2">
        <f t="shared" si="26"/>
        <v>4.6222222222222218</v>
      </c>
      <c r="AU48">
        <v>800</v>
      </c>
      <c r="AV48">
        <v>800</v>
      </c>
      <c r="AW48" s="2">
        <f t="shared" si="27"/>
        <v>1600</v>
      </c>
      <c r="AX48" s="2">
        <f t="shared" si="28"/>
        <v>12800</v>
      </c>
      <c r="AY48" s="2">
        <f t="shared" si="29"/>
        <v>3.5555555555555554</v>
      </c>
    </row>
    <row r="49" spans="1:51" x14ac:dyDescent="0.3">
      <c r="A49" s="2" t="s">
        <v>53</v>
      </c>
      <c r="B49">
        <v>1040</v>
      </c>
      <c r="C49">
        <v>1040</v>
      </c>
      <c r="D49" s="2">
        <f t="shared" si="0"/>
        <v>2080</v>
      </c>
      <c r="E49" s="2">
        <f t="shared" si="1"/>
        <v>16640</v>
      </c>
      <c r="F49" s="2">
        <f t="shared" si="2"/>
        <v>4.6222222222222218</v>
      </c>
      <c r="G49">
        <v>1040</v>
      </c>
      <c r="H49">
        <v>1040</v>
      </c>
      <c r="I49" s="2">
        <f t="shared" si="3"/>
        <v>2080</v>
      </c>
      <c r="J49" s="2">
        <f t="shared" si="4"/>
        <v>16640</v>
      </c>
      <c r="K49" s="2">
        <f t="shared" si="5"/>
        <v>4.6222222222222218</v>
      </c>
      <c r="L49">
        <v>1120</v>
      </c>
      <c r="M49">
        <v>1120</v>
      </c>
      <c r="N49" s="2">
        <f t="shared" si="6"/>
        <v>2240</v>
      </c>
      <c r="O49" s="2">
        <f t="shared" si="7"/>
        <v>17920</v>
      </c>
      <c r="P49" s="2">
        <f t="shared" si="8"/>
        <v>4.9777777777777779</v>
      </c>
      <c r="Q49">
        <v>1040</v>
      </c>
      <c r="R49">
        <v>1040</v>
      </c>
      <c r="S49" s="2">
        <f t="shared" si="9"/>
        <v>2080</v>
      </c>
      <c r="T49" s="2">
        <f t="shared" si="10"/>
        <v>16640</v>
      </c>
      <c r="U49" s="2">
        <f t="shared" si="11"/>
        <v>4.6222222222222218</v>
      </c>
      <c r="V49">
        <v>960</v>
      </c>
      <c r="W49">
        <v>960</v>
      </c>
      <c r="X49" s="2">
        <f t="shared" si="12"/>
        <v>1920</v>
      </c>
      <c r="Y49" s="2">
        <f t="shared" si="13"/>
        <v>15360</v>
      </c>
      <c r="Z49" s="2">
        <f t="shared" si="14"/>
        <v>4.2666666666666666</v>
      </c>
      <c r="AA49">
        <v>880</v>
      </c>
      <c r="AB49">
        <v>880</v>
      </c>
      <c r="AC49" s="2">
        <f t="shared" si="15"/>
        <v>1760</v>
      </c>
      <c r="AD49" s="2">
        <f t="shared" si="16"/>
        <v>14080</v>
      </c>
      <c r="AE49" s="2">
        <f t="shared" si="17"/>
        <v>3.911111111111111</v>
      </c>
      <c r="AF49">
        <v>1120</v>
      </c>
      <c r="AG49">
        <v>1120</v>
      </c>
      <c r="AH49" s="2">
        <f t="shared" si="18"/>
        <v>2240</v>
      </c>
      <c r="AI49" s="2">
        <f t="shared" si="19"/>
        <v>17920</v>
      </c>
      <c r="AJ49" s="2">
        <f t="shared" si="20"/>
        <v>4.9777777777777779</v>
      </c>
      <c r="AK49">
        <v>1120</v>
      </c>
      <c r="AL49">
        <v>1120</v>
      </c>
      <c r="AM49" s="2">
        <f t="shared" si="21"/>
        <v>2240</v>
      </c>
      <c r="AN49" s="2">
        <f t="shared" si="22"/>
        <v>17920</v>
      </c>
      <c r="AO49" s="2">
        <f t="shared" si="23"/>
        <v>4.9777777777777779</v>
      </c>
      <c r="AP49">
        <v>1120</v>
      </c>
      <c r="AQ49">
        <v>1120</v>
      </c>
      <c r="AR49" s="2">
        <f t="shared" si="24"/>
        <v>2240</v>
      </c>
      <c r="AS49" s="2">
        <f t="shared" si="25"/>
        <v>17920</v>
      </c>
      <c r="AT49" s="2">
        <f t="shared" si="26"/>
        <v>4.9777777777777779</v>
      </c>
      <c r="AU49">
        <v>1040</v>
      </c>
      <c r="AV49">
        <v>1040</v>
      </c>
      <c r="AW49" s="2">
        <f t="shared" si="27"/>
        <v>2080</v>
      </c>
      <c r="AX49" s="2">
        <f t="shared" si="28"/>
        <v>16640</v>
      </c>
      <c r="AY49" s="2">
        <f t="shared" si="29"/>
        <v>4.6222222222222218</v>
      </c>
    </row>
    <row r="50" spans="1:51" x14ac:dyDescent="0.3">
      <c r="A50" s="2" t="s">
        <v>54</v>
      </c>
      <c r="B50">
        <v>1200</v>
      </c>
      <c r="C50">
        <v>1200</v>
      </c>
      <c r="D50" s="2">
        <f t="shared" si="0"/>
        <v>2400</v>
      </c>
      <c r="E50" s="2">
        <f t="shared" si="1"/>
        <v>19200</v>
      </c>
      <c r="F50" s="2">
        <f t="shared" si="2"/>
        <v>5.333333333333333</v>
      </c>
      <c r="G50">
        <v>1040</v>
      </c>
      <c r="H50">
        <v>1040</v>
      </c>
      <c r="I50" s="2">
        <f t="shared" si="3"/>
        <v>2080</v>
      </c>
      <c r="J50" s="2">
        <f t="shared" si="4"/>
        <v>16640</v>
      </c>
      <c r="K50" s="2">
        <f t="shared" si="5"/>
        <v>4.6222222222222218</v>
      </c>
      <c r="L50">
        <v>880</v>
      </c>
      <c r="M50">
        <v>880</v>
      </c>
      <c r="N50" s="2">
        <f t="shared" si="6"/>
        <v>1760</v>
      </c>
      <c r="O50" s="2">
        <f t="shared" si="7"/>
        <v>14080</v>
      </c>
      <c r="P50" s="2">
        <f t="shared" si="8"/>
        <v>3.911111111111111</v>
      </c>
      <c r="Q50">
        <v>1040</v>
      </c>
      <c r="R50">
        <v>1040</v>
      </c>
      <c r="S50" s="2">
        <f t="shared" si="9"/>
        <v>2080</v>
      </c>
      <c r="T50" s="2">
        <f t="shared" si="10"/>
        <v>16640</v>
      </c>
      <c r="U50" s="2">
        <f t="shared" si="11"/>
        <v>4.6222222222222218</v>
      </c>
      <c r="V50">
        <v>1200</v>
      </c>
      <c r="W50">
        <v>1200</v>
      </c>
      <c r="X50" s="2">
        <f t="shared" si="12"/>
        <v>2400</v>
      </c>
      <c r="Y50" s="2">
        <f t="shared" si="13"/>
        <v>19200</v>
      </c>
      <c r="Z50" s="2">
        <f t="shared" si="14"/>
        <v>5.333333333333333</v>
      </c>
      <c r="AA50">
        <v>1040</v>
      </c>
      <c r="AB50">
        <v>1040</v>
      </c>
      <c r="AC50" s="2">
        <f t="shared" si="15"/>
        <v>2080</v>
      </c>
      <c r="AD50" s="2">
        <f t="shared" si="16"/>
        <v>16640</v>
      </c>
      <c r="AE50" s="2">
        <f t="shared" si="17"/>
        <v>4.6222222222222218</v>
      </c>
      <c r="AF50">
        <v>1040</v>
      </c>
      <c r="AG50">
        <v>1040</v>
      </c>
      <c r="AH50" s="2">
        <f t="shared" si="18"/>
        <v>2080</v>
      </c>
      <c r="AI50" s="2">
        <f t="shared" si="19"/>
        <v>16640</v>
      </c>
      <c r="AJ50" s="2">
        <f t="shared" si="20"/>
        <v>4.6222222222222218</v>
      </c>
      <c r="AK50">
        <v>960</v>
      </c>
      <c r="AL50">
        <v>960</v>
      </c>
      <c r="AM50" s="2">
        <f t="shared" si="21"/>
        <v>1920</v>
      </c>
      <c r="AN50" s="2">
        <f t="shared" si="22"/>
        <v>15360</v>
      </c>
      <c r="AO50" s="2">
        <f t="shared" si="23"/>
        <v>4.2666666666666666</v>
      </c>
      <c r="AP50">
        <v>1120</v>
      </c>
      <c r="AQ50">
        <v>1120</v>
      </c>
      <c r="AR50" s="2">
        <f t="shared" si="24"/>
        <v>2240</v>
      </c>
      <c r="AS50" s="2">
        <f t="shared" si="25"/>
        <v>17920</v>
      </c>
      <c r="AT50" s="2">
        <f t="shared" si="26"/>
        <v>4.9777777777777779</v>
      </c>
      <c r="AU50">
        <v>1200</v>
      </c>
      <c r="AV50">
        <v>1200</v>
      </c>
      <c r="AW50" s="2">
        <f t="shared" si="27"/>
        <v>2400</v>
      </c>
      <c r="AX50" s="2">
        <f t="shared" si="28"/>
        <v>19200</v>
      </c>
      <c r="AY50" s="2">
        <f t="shared" si="29"/>
        <v>5.333333333333333</v>
      </c>
    </row>
    <row r="51" spans="1:51" x14ac:dyDescent="0.3">
      <c r="A51" s="2" t="s">
        <v>55</v>
      </c>
      <c r="B51">
        <v>1280</v>
      </c>
      <c r="C51">
        <v>1280</v>
      </c>
      <c r="D51" s="2">
        <f t="shared" si="0"/>
        <v>2560</v>
      </c>
      <c r="E51" s="2">
        <f t="shared" si="1"/>
        <v>20480</v>
      </c>
      <c r="F51" s="2">
        <f t="shared" si="2"/>
        <v>5.6888888888888891</v>
      </c>
      <c r="G51">
        <v>1120</v>
      </c>
      <c r="H51">
        <v>1120</v>
      </c>
      <c r="I51" s="2">
        <f t="shared" si="3"/>
        <v>2240</v>
      </c>
      <c r="J51" s="2">
        <f t="shared" si="4"/>
        <v>17920</v>
      </c>
      <c r="K51" s="2">
        <f t="shared" si="5"/>
        <v>4.9777777777777779</v>
      </c>
      <c r="L51">
        <v>1360</v>
      </c>
      <c r="M51">
        <v>1360</v>
      </c>
      <c r="N51" s="2">
        <f t="shared" si="6"/>
        <v>2720</v>
      </c>
      <c r="O51" s="2">
        <f t="shared" si="7"/>
        <v>21760</v>
      </c>
      <c r="P51" s="2">
        <f t="shared" si="8"/>
        <v>6.0444444444444443</v>
      </c>
      <c r="Q51">
        <v>1120</v>
      </c>
      <c r="R51">
        <v>1120</v>
      </c>
      <c r="S51" s="2">
        <f t="shared" si="9"/>
        <v>2240</v>
      </c>
      <c r="T51" s="2">
        <f t="shared" si="10"/>
        <v>17920</v>
      </c>
      <c r="U51" s="2">
        <f t="shared" si="11"/>
        <v>4.9777777777777779</v>
      </c>
      <c r="V51">
        <v>960</v>
      </c>
      <c r="W51">
        <v>960</v>
      </c>
      <c r="X51" s="2">
        <f t="shared" si="12"/>
        <v>1920</v>
      </c>
      <c r="Y51" s="2">
        <f t="shared" si="13"/>
        <v>15360</v>
      </c>
      <c r="Z51" s="2">
        <f t="shared" si="14"/>
        <v>4.2666666666666666</v>
      </c>
      <c r="AA51">
        <v>1040</v>
      </c>
      <c r="AB51">
        <v>1040</v>
      </c>
      <c r="AC51" s="2">
        <f t="shared" si="15"/>
        <v>2080</v>
      </c>
      <c r="AD51" s="2">
        <f t="shared" si="16"/>
        <v>16640</v>
      </c>
      <c r="AE51" s="2">
        <f t="shared" si="17"/>
        <v>4.6222222222222218</v>
      </c>
      <c r="AF51">
        <v>1040</v>
      </c>
      <c r="AG51">
        <v>1040</v>
      </c>
      <c r="AH51" s="2">
        <f t="shared" si="18"/>
        <v>2080</v>
      </c>
      <c r="AI51" s="2">
        <f t="shared" si="19"/>
        <v>16640</v>
      </c>
      <c r="AJ51" s="2">
        <f t="shared" si="20"/>
        <v>4.6222222222222218</v>
      </c>
      <c r="AK51">
        <v>1120</v>
      </c>
      <c r="AL51">
        <v>1120</v>
      </c>
      <c r="AM51" s="2">
        <f t="shared" si="21"/>
        <v>2240</v>
      </c>
      <c r="AN51" s="2">
        <f t="shared" si="22"/>
        <v>17920</v>
      </c>
      <c r="AO51" s="2">
        <f t="shared" si="23"/>
        <v>4.9777777777777779</v>
      </c>
      <c r="AP51">
        <v>960</v>
      </c>
      <c r="AQ51">
        <v>960</v>
      </c>
      <c r="AR51" s="2">
        <f t="shared" si="24"/>
        <v>1920</v>
      </c>
      <c r="AS51" s="2">
        <f t="shared" si="25"/>
        <v>15360</v>
      </c>
      <c r="AT51" s="2">
        <f t="shared" si="26"/>
        <v>4.2666666666666666</v>
      </c>
      <c r="AU51">
        <v>960</v>
      </c>
      <c r="AV51">
        <v>960</v>
      </c>
      <c r="AW51" s="2">
        <f t="shared" si="27"/>
        <v>1920</v>
      </c>
      <c r="AX51" s="2">
        <f t="shared" si="28"/>
        <v>15360</v>
      </c>
      <c r="AY51" s="2">
        <f t="shared" si="29"/>
        <v>4.2666666666666666</v>
      </c>
    </row>
    <row r="52" spans="1:51" x14ac:dyDescent="0.3">
      <c r="A52" s="2" t="s">
        <v>56</v>
      </c>
      <c r="B52">
        <v>960</v>
      </c>
      <c r="C52">
        <v>960</v>
      </c>
      <c r="D52" s="2">
        <f t="shared" si="0"/>
        <v>1920</v>
      </c>
      <c r="E52" s="2">
        <f t="shared" si="1"/>
        <v>15360</v>
      </c>
      <c r="F52" s="2">
        <f t="shared" si="2"/>
        <v>4.2666666666666666</v>
      </c>
      <c r="G52">
        <v>960</v>
      </c>
      <c r="H52">
        <v>960</v>
      </c>
      <c r="I52" s="2">
        <f t="shared" si="3"/>
        <v>1920</v>
      </c>
      <c r="J52" s="2">
        <f t="shared" si="4"/>
        <v>15360</v>
      </c>
      <c r="K52" s="2">
        <f t="shared" si="5"/>
        <v>4.2666666666666666</v>
      </c>
      <c r="L52">
        <v>1040</v>
      </c>
      <c r="M52">
        <v>1040</v>
      </c>
      <c r="N52" s="2">
        <f t="shared" si="6"/>
        <v>2080</v>
      </c>
      <c r="O52" s="2">
        <f t="shared" si="7"/>
        <v>16640</v>
      </c>
      <c r="P52" s="2">
        <f t="shared" si="8"/>
        <v>4.6222222222222218</v>
      </c>
      <c r="Q52">
        <v>880</v>
      </c>
      <c r="R52">
        <v>880</v>
      </c>
      <c r="S52" s="2">
        <f t="shared" si="9"/>
        <v>1760</v>
      </c>
      <c r="T52" s="2">
        <f t="shared" si="10"/>
        <v>14080</v>
      </c>
      <c r="U52" s="2">
        <f t="shared" si="11"/>
        <v>3.911111111111111</v>
      </c>
      <c r="V52">
        <v>1200</v>
      </c>
      <c r="W52">
        <v>1200</v>
      </c>
      <c r="X52" s="2">
        <f t="shared" si="12"/>
        <v>2400</v>
      </c>
      <c r="Y52" s="2">
        <f t="shared" si="13"/>
        <v>19200</v>
      </c>
      <c r="Z52" s="2">
        <f t="shared" si="14"/>
        <v>5.333333333333333</v>
      </c>
      <c r="AA52">
        <v>1040</v>
      </c>
      <c r="AB52">
        <v>1040</v>
      </c>
      <c r="AC52" s="2">
        <f t="shared" si="15"/>
        <v>2080</v>
      </c>
      <c r="AD52" s="2">
        <f t="shared" si="16"/>
        <v>16640</v>
      </c>
      <c r="AE52" s="2">
        <f t="shared" si="17"/>
        <v>4.6222222222222218</v>
      </c>
      <c r="AF52">
        <v>1040</v>
      </c>
      <c r="AG52">
        <v>1040</v>
      </c>
      <c r="AH52" s="2">
        <f t="shared" si="18"/>
        <v>2080</v>
      </c>
      <c r="AI52" s="2">
        <f t="shared" si="19"/>
        <v>16640</v>
      </c>
      <c r="AJ52" s="2">
        <f t="shared" si="20"/>
        <v>4.6222222222222218</v>
      </c>
      <c r="AK52">
        <v>880</v>
      </c>
      <c r="AL52">
        <v>880</v>
      </c>
      <c r="AM52" s="2">
        <f t="shared" si="21"/>
        <v>1760</v>
      </c>
      <c r="AN52" s="2">
        <f t="shared" si="22"/>
        <v>14080</v>
      </c>
      <c r="AO52" s="2">
        <f t="shared" si="23"/>
        <v>3.911111111111111</v>
      </c>
      <c r="AP52">
        <v>1120</v>
      </c>
      <c r="AQ52">
        <v>1120</v>
      </c>
      <c r="AR52" s="2">
        <f t="shared" si="24"/>
        <v>2240</v>
      </c>
      <c r="AS52" s="2">
        <f t="shared" si="25"/>
        <v>17920</v>
      </c>
      <c r="AT52" s="2">
        <f t="shared" si="26"/>
        <v>4.9777777777777779</v>
      </c>
      <c r="AU52">
        <v>1040</v>
      </c>
      <c r="AV52">
        <v>1040</v>
      </c>
      <c r="AW52" s="2">
        <f t="shared" si="27"/>
        <v>2080</v>
      </c>
      <c r="AX52" s="2">
        <f t="shared" si="28"/>
        <v>16640</v>
      </c>
      <c r="AY52" s="2">
        <f t="shared" si="29"/>
        <v>4.6222222222222218</v>
      </c>
    </row>
    <row r="53" spans="1:51" x14ac:dyDescent="0.3">
      <c r="A53" s="2" t="s">
        <v>57</v>
      </c>
      <c r="B53">
        <v>1040</v>
      </c>
      <c r="C53">
        <v>1040</v>
      </c>
      <c r="D53" s="2">
        <f t="shared" si="0"/>
        <v>2080</v>
      </c>
      <c r="E53" s="2">
        <f t="shared" si="1"/>
        <v>16640</v>
      </c>
      <c r="F53" s="2">
        <f t="shared" si="2"/>
        <v>4.6222222222222218</v>
      </c>
      <c r="G53">
        <v>1200</v>
      </c>
      <c r="H53">
        <v>1200</v>
      </c>
      <c r="I53" s="2">
        <f t="shared" si="3"/>
        <v>2400</v>
      </c>
      <c r="J53" s="2">
        <f t="shared" si="4"/>
        <v>19200</v>
      </c>
      <c r="K53" s="2">
        <f t="shared" si="5"/>
        <v>5.333333333333333</v>
      </c>
      <c r="L53">
        <v>1040</v>
      </c>
      <c r="M53">
        <v>1040</v>
      </c>
      <c r="N53" s="2">
        <f t="shared" si="6"/>
        <v>2080</v>
      </c>
      <c r="O53" s="2">
        <f t="shared" si="7"/>
        <v>16640</v>
      </c>
      <c r="P53" s="2">
        <f t="shared" si="8"/>
        <v>4.6222222222222218</v>
      </c>
      <c r="Q53">
        <v>1280</v>
      </c>
      <c r="R53">
        <v>1280</v>
      </c>
      <c r="S53" s="2">
        <f t="shared" si="9"/>
        <v>2560</v>
      </c>
      <c r="T53" s="2">
        <f t="shared" si="10"/>
        <v>20480</v>
      </c>
      <c r="U53" s="2">
        <f t="shared" si="11"/>
        <v>5.6888888888888891</v>
      </c>
      <c r="V53">
        <v>1040</v>
      </c>
      <c r="W53">
        <v>1040</v>
      </c>
      <c r="X53" s="2">
        <f t="shared" si="12"/>
        <v>2080</v>
      </c>
      <c r="Y53" s="2">
        <f t="shared" si="13"/>
        <v>16640</v>
      </c>
      <c r="Z53" s="2">
        <f t="shared" si="14"/>
        <v>4.6222222222222218</v>
      </c>
      <c r="AA53">
        <v>1040</v>
      </c>
      <c r="AB53">
        <v>1040</v>
      </c>
      <c r="AC53" s="2">
        <f t="shared" si="15"/>
        <v>2080</v>
      </c>
      <c r="AD53" s="2">
        <f t="shared" si="16"/>
        <v>16640</v>
      </c>
      <c r="AE53" s="2">
        <f t="shared" si="17"/>
        <v>4.6222222222222218</v>
      </c>
      <c r="AF53">
        <v>1040</v>
      </c>
      <c r="AG53">
        <v>1040</v>
      </c>
      <c r="AH53" s="2">
        <f t="shared" si="18"/>
        <v>2080</v>
      </c>
      <c r="AI53" s="2">
        <f t="shared" si="19"/>
        <v>16640</v>
      </c>
      <c r="AJ53" s="2">
        <f t="shared" si="20"/>
        <v>4.6222222222222218</v>
      </c>
      <c r="AK53">
        <v>1200</v>
      </c>
      <c r="AL53">
        <v>1200</v>
      </c>
      <c r="AM53" s="2">
        <f t="shared" si="21"/>
        <v>2400</v>
      </c>
      <c r="AN53" s="2">
        <f t="shared" si="22"/>
        <v>19200</v>
      </c>
      <c r="AO53" s="2">
        <f t="shared" si="23"/>
        <v>5.333333333333333</v>
      </c>
      <c r="AP53">
        <v>960</v>
      </c>
      <c r="AQ53">
        <v>960</v>
      </c>
      <c r="AR53" s="2">
        <f t="shared" si="24"/>
        <v>1920</v>
      </c>
      <c r="AS53" s="2">
        <f t="shared" si="25"/>
        <v>15360</v>
      </c>
      <c r="AT53" s="2">
        <f t="shared" si="26"/>
        <v>4.2666666666666666</v>
      </c>
      <c r="AU53">
        <v>1120</v>
      </c>
      <c r="AV53">
        <v>1120</v>
      </c>
      <c r="AW53" s="2">
        <f t="shared" si="27"/>
        <v>2240</v>
      </c>
      <c r="AX53" s="2">
        <f t="shared" si="28"/>
        <v>17920</v>
      </c>
      <c r="AY53" s="2">
        <f t="shared" si="29"/>
        <v>4.9777777777777779</v>
      </c>
    </row>
    <row r="54" spans="1:51" x14ac:dyDescent="0.3">
      <c r="A54" s="2" t="s">
        <v>58</v>
      </c>
      <c r="B54">
        <v>1280</v>
      </c>
      <c r="C54">
        <v>1280</v>
      </c>
      <c r="D54" s="2">
        <f t="shared" si="0"/>
        <v>2560</v>
      </c>
      <c r="E54" s="2">
        <f t="shared" si="1"/>
        <v>20480</v>
      </c>
      <c r="F54" s="2">
        <f t="shared" si="2"/>
        <v>5.6888888888888891</v>
      </c>
      <c r="G54">
        <v>1200</v>
      </c>
      <c r="H54">
        <v>1200</v>
      </c>
      <c r="I54" s="2">
        <f t="shared" si="3"/>
        <v>2400</v>
      </c>
      <c r="J54" s="2">
        <f t="shared" si="4"/>
        <v>19200</v>
      </c>
      <c r="K54" s="2">
        <f t="shared" si="5"/>
        <v>5.333333333333333</v>
      </c>
      <c r="L54">
        <v>960</v>
      </c>
      <c r="M54">
        <v>960</v>
      </c>
      <c r="N54" s="2">
        <f t="shared" si="6"/>
        <v>1920</v>
      </c>
      <c r="O54" s="2">
        <f t="shared" si="7"/>
        <v>15360</v>
      </c>
      <c r="P54" s="2">
        <f t="shared" si="8"/>
        <v>4.2666666666666666</v>
      </c>
      <c r="Q54">
        <v>1040</v>
      </c>
      <c r="R54">
        <v>1040</v>
      </c>
      <c r="S54" s="2">
        <f t="shared" si="9"/>
        <v>2080</v>
      </c>
      <c r="T54" s="2">
        <f t="shared" si="10"/>
        <v>16640</v>
      </c>
      <c r="U54" s="2">
        <f t="shared" si="11"/>
        <v>4.6222222222222218</v>
      </c>
      <c r="V54">
        <v>880</v>
      </c>
      <c r="W54">
        <v>880</v>
      </c>
      <c r="X54" s="2">
        <f t="shared" si="12"/>
        <v>1760</v>
      </c>
      <c r="Y54" s="2">
        <f t="shared" si="13"/>
        <v>14080</v>
      </c>
      <c r="Z54" s="2">
        <f t="shared" si="14"/>
        <v>3.911111111111111</v>
      </c>
      <c r="AA54">
        <v>880</v>
      </c>
      <c r="AB54">
        <v>880</v>
      </c>
      <c r="AC54" s="2">
        <f t="shared" si="15"/>
        <v>1760</v>
      </c>
      <c r="AD54" s="2">
        <f t="shared" si="16"/>
        <v>14080</v>
      </c>
      <c r="AE54" s="2">
        <f t="shared" si="17"/>
        <v>3.911111111111111</v>
      </c>
      <c r="AF54">
        <v>1040</v>
      </c>
      <c r="AG54">
        <v>1040</v>
      </c>
      <c r="AH54" s="2">
        <f t="shared" si="18"/>
        <v>2080</v>
      </c>
      <c r="AI54" s="2">
        <f t="shared" si="19"/>
        <v>16640</v>
      </c>
      <c r="AJ54" s="2">
        <f t="shared" si="20"/>
        <v>4.6222222222222218</v>
      </c>
      <c r="AK54">
        <v>960</v>
      </c>
      <c r="AL54">
        <v>960</v>
      </c>
      <c r="AM54" s="2">
        <f t="shared" si="21"/>
        <v>1920</v>
      </c>
      <c r="AN54" s="2">
        <f t="shared" si="22"/>
        <v>15360</v>
      </c>
      <c r="AO54" s="2">
        <f t="shared" si="23"/>
        <v>4.2666666666666666</v>
      </c>
      <c r="AP54">
        <v>1040</v>
      </c>
      <c r="AQ54">
        <v>1040</v>
      </c>
      <c r="AR54" s="2">
        <f t="shared" si="24"/>
        <v>2080</v>
      </c>
      <c r="AS54" s="2">
        <f t="shared" si="25"/>
        <v>16640</v>
      </c>
      <c r="AT54" s="2">
        <f t="shared" si="26"/>
        <v>4.6222222222222218</v>
      </c>
      <c r="AU54">
        <v>1040</v>
      </c>
      <c r="AV54">
        <v>1040</v>
      </c>
      <c r="AW54" s="2">
        <f t="shared" si="27"/>
        <v>2080</v>
      </c>
      <c r="AX54" s="2">
        <f t="shared" si="28"/>
        <v>16640</v>
      </c>
      <c r="AY54" s="2">
        <f t="shared" si="29"/>
        <v>4.6222222222222218</v>
      </c>
    </row>
    <row r="55" spans="1:51" x14ac:dyDescent="0.3">
      <c r="A55" s="2" t="s">
        <v>59</v>
      </c>
      <c r="B55">
        <v>1120</v>
      </c>
      <c r="C55">
        <v>1120</v>
      </c>
      <c r="D55" s="2">
        <f t="shared" si="0"/>
        <v>2240</v>
      </c>
      <c r="E55" s="2">
        <f t="shared" si="1"/>
        <v>17920</v>
      </c>
      <c r="F55" s="2">
        <f t="shared" si="2"/>
        <v>4.9777777777777779</v>
      </c>
      <c r="G55">
        <v>1040</v>
      </c>
      <c r="H55">
        <v>1040</v>
      </c>
      <c r="I55" s="2">
        <f t="shared" si="3"/>
        <v>2080</v>
      </c>
      <c r="J55" s="2">
        <f t="shared" si="4"/>
        <v>16640</v>
      </c>
      <c r="K55" s="2">
        <f t="shared" si="5"/>
        <v>4.6222222222222218</v>
      </c>
      <c r="L55">
        <v>1200</v>
      </c>
      <c r="M55">
        <v>1200</v>
      </c>
      <c r="N55" s="2">
        <f t="shared" si="6"/>
        <v>2400</v>
      </c>
      <c r="O55" s="2">
        <f t="shared" si="7"/>
        <v>19200</v>
      </c>
      <c r="P55" s="2">
        <f t="shared" si="8"/>
        <v>5.333333333333333</v>
      </c>
      <c r="Q55">
        <v>1120</v>
      </c>
      <c r="R55">
        <v>1120</v>
      </c>
      <c r="S55" s="2">
        <f t="shared" si="9"/>
        <v>2240</v>
      </c>
      <c r="T55" s="2">
        <f t="shared" si="10"/>
        <v>17920</v>
      </c>
      <c r="U55" s="2">
        <f t="shared" si="11"/>
        <v>4.9777777777777779</v>
      </c>
      <c r="V55">
        <v>1120</v>
      </c>
      <c r="W55">
        <v>1120</v>
      </c>
      <c r="X55" s="2">
        <f t="shared" si="12"/>
        <v>2240</v>
      </c>
      <c r="Y55" s="2">
        <f t="shared" si="13"/>
        <v>17920</v>
      </c>
      <c r="Z55" s="2">
        <f t="shared" si="14"/>
        <v>4.9777777777777779</v>
      </c>
      <c r="AA55">
        <v>1120</v>
      </c>
      <c r="AB55">
        <v>1120</v>
      </c>
      <c r="AC55" s="2">
        <f t="shared" si="15"/>
        <v>2240</v>
      </c>
      <c r="AD55" s="2">
        <f t="shared" si="16"/>
        <v>17920</v>
      </c>
      <c r="AE55" s="2">
        <f t="shared" si="17"/>
        <v>4.9777777777777779</v>
      </c>
      <c r="AF55">
        <v>1040</v>
      </c>
      <c r="AG55">
        <v>1040</v>
      </c>
      <c r="AH55" s="2">
        <f t="shared" si="18"/>
        <v>2080</v>
      </c>
      <c r="AI55" s="2">
        <f t="shared" si="19"/>
        <v>16640</v>
      </c>
      <c r="AJ55" s="2">
        <f t="shared" si="20"/>
        <v>4.6222222222222218</v>
      </c>
      <c r="AK55">
        <v>1040</v>
      </c>
      <c r="AL55">
        <v>1040</v>
      </c>
      <c r="AM55" s="2">
        <f t="shared" si="21"/>
        <v>2080</v>
      </c>
      <c r="AN55" s="2">
        <f t="shared" si="22"/>
        <v>16640</v>
      </c>
      <c r="AO55" s="2">
        <f t="shared" si="23"/>
        <v>4.6222222222222218</v>
      </c>
      <c r="AP55">
        <v>880</v>
      </c>
      <c r="AQ55">
        <v>880</v>
      </c>
      <c r="AR55" s="2">
        <f t="shared" si="24"/>
        <v>1760</v>
      </c>
      <c r="AS55" s="2">
        <f t="shared" si="25"/>
        <v>14080</v>
      </c>
      <c r="AT55" s="2">
        <f t="shared" si="26"/>
        <v>3.911111111111111</v>
      </c>
      <c r="AU55">
        <v>1040</v>
      </c>
      <c r="AV55">
        <v>1040</v>
      </c>
      <c r="AW55" s="2">
        <f t="shared" si="27"/>
        <v>2080</v>
      </c>
      <c r="AX55" s="2">
        <f t="shared" si="28"/>
        <v>16640</v>
      </c>
      <c r="AY55" s="2">
        <f t="shared" si="29"/>
        <v>4.6222222222222218</v>
      </c>
    </row>
    <row r="56" spans="1:51" x14ac:dyDescent="0.3">
      <c r="A56" s="2" t="s">
        <v>60</v>
      </c>
      <c r="B56">
        <v>1040</v>
      </c>
      <c r="C56">
        <v>1040</v>
      </c>
      <c r="D56" s="2">
        <f t="shared" si="0"/>
        <v>2080</v>
      </c>
      <c r="E56" s="2">
        <f t="shared" si="1"/>
        <v>16640</v>
      </c>
      <c r="F56" s="2">
        <f t="shared" si="2"/>
        <v>4.6222222222222218</v>
      </c>
      <c r="G56">
        <v>1040</v>
      </c>
      <c r="H56">
        <v>1040</v>
      </c>
      <c r="I56" s="2">
        <f t="shared" si="3"/>
        <v>2080</v>
      </c>
      <c r="J56" s="2">
        <f t="shared" si="4"/>
        <v>16640</v>
      </c>
      <c r="K56" s="2">
        <f t="shared" si="5"/>
        <v>4.6222222222222218</v>
      </c>
      <c r="L56">
        <v>1120</v>
      </c>
      <c r="M56">
        <v>1120</v>
      </c>
      <c r="N56" s="2">
        <f t="shared" si="6"/>
        <v>2240</v>
      </c>
      <c r="O56" s="2">
        <f t="shared" si="7"/>
        <v>17920</v>
      </c>
      <c r="P56" s="2">
        <f t="shared" si="8"/>
        <v>4.9777777777777779</v>
      </c>
      <c r="Q56">
        <v>1120</v>
      </c>
      <c r="R56">
        <v>1120</v>
      </c>
      <c r="S56" s="2">
        <f t="shared" si="9"/>
        <v>2240</v>
      </c>
      <c r="T56" s="2">
        <f t="shared" si="10"/>
        <v>17920</v>
      </c>
      <c r="U56" s="2">
        <f t="shared" si="11"/>
        <v>4.9777777777777779</v>
      </c>
      <c r="V56">
        <v>1040</v>
      </c>
      <c r="W56">
        <v>1040</v>
      </c>
      <c r="X56" s="2">
        <f t="shared" si="12"/>
        <v>2080</v>
      </c>
      <c r="Y56" s="2">
        <f t="shared" si="13"/>
        <v>16640</v>
      </c>
      <c r="Z56" s="2">
        <f t="shared" si="14"/>
        <v>4.6222222222222218</v>
      </c>
      <c r="AA56">
        <v>1040</v>
      </c>
      <c r="AB56">
        <v>1040</v>
      </c>
      <c r="AC56" s="2">
        <f t="shared" si="15"/>
        <v>2080</v>
      </c>
      <c r="AD56" s="2">
        <f t="shared" si="16"/>
        <v>16640</v>
      </c>
      <c r="AE56" s="2">
        <f t="shared" si="17"/>
        <v>4.6222222222222218</v>
      </c>
      <c r="AF56">
        <v>1200</v>
      </c>
      <c r="AG56">
        <v>1200</v>
      </c>
      <c r="AH56" s="2">
        <f t="shared" si="18"/>
        <v>2400</v>
      </c>
      <c r="AI56" s="2">
        <f t="shared" si="19"/>
        <v>19200</v>
      </c>
      <c r="AJ56" s="2">
        <f t="shared" si="20"/>
        <v>5.333333333333333</v>
      </c>
      <c r="AK56">
        <v>960</v>
      </c>
      <c r="AL56">
        <v>960</v>
      </c>
      <c r="AM56" s="2">
        <f t="shared" si="21"/>
        <v>1920</v>
      </c>
      <c r="AN56" s="2">
        <f t="shared" si="22"/>
        <v>15360</v>
      </c>
      <c r="AO56" s="2">
        <f t="shared" si="23"/>
        <v>4.2666666666666666</v>
      </c>
      <c r="AP56">
        <v>960</v>
      </c>
      <c r="AQ56">
        <v>960</v>
      </c>
      <c r="AR56" s="2">
        <f t="shared" si="24"/>
        <v>1920</v>
      </c>
      <c r="AS56" s="2">
        <f t="shared" si="25"/>
        <v>15360</v>
      </c>
      <c r="AT56" s="2">
        <f t="shared" si="26"/>
        <v>4.2666666666666666</v>
      </c>
      <c r="AU56">
        <v>960</v>
      </c>
      <c r="AV56">
        <v>960</v>
      </c>
      <c r="AW56" s="2">
        <f t="shared" si="27"/>
        <v>1920</v>
      </c>
      <c r="AX56" s="2">
        <f t="shared" si="28"/>
        <v>15360</v>
      </c>
      <c r="AY56" s="2">
        <f t="shared" si="29"/>
        <v>4.2666666666666666</v>
      </c>
    </row>
    <row r="57" spans="1:51" x14ac:dyDescent="0.3">
      <c r="A57" s="2" t="s">
        <v>61</v>
      </c>
      <c r="B57">
        <v>1040</v>
      </c>
      <c r="C57">
        <v>1040</v>
      </c>
      <c r="D57" s="2">
        <f t="shared" si="0"/>
        <v>2080</v>
      </c>
      <c r="E57" s="2">
        <f t="shared" si="1"/>
        <v>16640</v>
      </c>
      <c r="F57" s="2">
        <f t="shared" si="2"/>
        <v>4.6222222222222218</v>
      </c>
      <c r="G57">
        <v>960</v>
      </c>
      <c r="H57">
        <v>960</v>
      </c>
      <c r="I57" s="2">
        <f t="shared" si="3"/>
        <v>1920</v>
      </c>
      <c r="J57" s="2">
        <f t="shared" si="4"/>
        <v>15360</v>
      </c>
      <c r="K57" s="2">
        <f t="shared" si="5"/>
        <v>4.2666666666666666</v>
      </c>
      <c r="L57">
        <v>1120</v>
      </c>
      <c r="M57">
        <v>1120</v>
      </c>
      <c r="N57" s="2">
        <f t="shared" si="6"/>
        <v>2240</v>
      </c>
      <c r="O57" s="2">
        <f t="shared" si="7"/>
        <v>17920</v>
      </c>
      <c r="P57" s="2">
        <f t="shared" si="8"/>
        <v>4.9777777777777779</v>
      </c>
      <c r="Q57">
        <v>1120</v>
      </c>
      <c r="R57">
        <v>1120</v>
      </c>
      <c r="S57" s="2">
        <f t="shared" si="9"/>
        <v>2240</v>
      </c>
      <c r="T57" s="2">
        <f t="shared" si="10"/>
        <v>17920</v>
      </c>
      <c r="U57" s="2">
        <f t="shared" si="11"/>
        <v>4.9777777777777779</v>
      </c>
      <c r="V57">
        <v>1040</v>
      </c>
      <c r="W57">
        <v>1040</v>
      </c>
      <c r="X57" s="2">
        <f t="shared" si="12"/>
        <v>2080</v>
      </c>
      <c r="Y57" s="2">
        <f t="shared" si="13"/>
        <v>16640</v>
      </c>
      <c r="Z57" s="2">
        <f t="shared" si="14"/>
        <v>4.6222222222222218</v>
      </c>
      <c r="AA57">
        <v>1040</v>
      </c>
      <c r="AB57">
        <v>1040</v>
      </c>
      <c r="AC57" s="2">
        <f t="shared" si="15"/>
        <v>2080</v>
      </c>
      <c r="AD57" s="2">
        <f t="shared" si="16"/>
        <v>16640</v>
      </c>
      <c r="AE57" s="2">
        <f t="shared" si="17"/>
        <v>4.6222222222222218</v>
      </c>
      <c r="AF57">
        <v>1120</v>
      </c>
      <c r="AG57">
        <v>1120</v>
      </c>
      <c r="AH57" s="2">
        <f t="shared" si="18"/>
        <v>2240</v>
      </c>
      <c r="AI57" s="2">
        <f t="shared" si="19"/>
        <v>17920</v>
      </c>
      <c r="AJ57" s="2">
        <f t="shared" si="20"/>
        <v>4.9777777777777779</v>
      </c>
      <c r="AK57">
        <v>1280</v>
      </c>
      <c r="AL57">
        <v>1280</v>
      </c>
      <c r="AM57" s="2">
        <f t="shared" si="21"/>
        <v>2560</v>
      </c>
      <c r="AN57" s="2">
        <f t="shared" si="22"/>
        <v>20480</v>
      </c>
      <c r="AO57" s="2">
        <f t="shared" si="23"/>
        <v>5.6888888888888891</v>
      </c>
      <c r="AP57">
        <v>1040</v>
      </c>
      <c r="AQ57">
        <v>1040</v>
      </c>
      <c r="AR57" s="2">
        <f t="shared" si="24"/>
        <v>2080</v>
      </c>
      <c r="AS57" s="2">
        <f t="shared" si="25"/>
        <v>16640</v>
      </c>
      <c r="AT57" s="2">
        <f t="shared" si="26"/>
        <v>4.6222222222222218</v>
      </c>
      <c r="AU57">
        <v>1120</v>
      </c>
      <c r="AV57">
        <v>1120</v>
      </c>
      <c r="AW57" s="2">
        <f t="shared" si="27"/>
        <v>2240</v>
      </c>
      <c r="AX57" s="2">
        <f t="shared" si="28"/>
        <v>17920</v>
      </c>
      <c r="AY57" s="2">
        <f t="shared" si="29"/>
        <v>4.9777777777777779</v>
      </c>
    </row>
    <row r="58" spans="1:51" x14ac:dyDescent="0.3">
      <c r="A58" s="2" t="s">
        <v>62</v>
      </c>
      <c r="B58">
        <v>960</v>
      </c>
      <c r="C58">
        <v>960</v>
      </c>
      <c r="D58" s="2">
        <f t="shared" si="0"/>
        <v>1920</v>
      </c>
      <c r="E58" s="2">
        <f t="shared" si="1"/>
        <v>15360</v>
      </c>
      <c r="F58" s="2">
        <f t="shared" si="2"/>
        <v>4.2666666666666666</v>
      </c>
      <c r="G58">
        <v>1040</v>
      </c>
      <c r="H58">
        <v>1040</v>
      </c>
      <c r="I58" s="2">
        <f t="shared" si="3"/>
        <v>2080</v>
      </c>
      <c r="J58" s="2">
        <f t="shared" si="4"/>
        <v>16640</v>
      </c>
      <c r="K58" s="2">
        <f t="shared" si="5"/>
        <v>4.6222222222222218</v>
      </c>
      <c r="L58">
        <v>1120</v>
      </c>
      <c r="M58">
        <v>1120</v>
      </c>
      <c r="N58" s="2">
        <f t="shared" si="6"/>
        <v>2240</v>
      </c>
      <c r="O58" s="2">
        <f t="shared" si="7"/>
        <v>17920</v>
      </c>
      <c r="P58" s="2">
        <f t="shared" si="8"/>
        <v>4.9777777777777779</v>
      </c>
      <c r="Q58">
        <v>1040</v>
      </c>
      <c r="R58">
        <v>1040</v>
      </c>
      <c r="S58" s="2">
        <f t="shared" si="9"/>
        <v>2080</v>
      </c>
      <c r="T58" s="2">
        <f t="shared" si="10"/>
        <v>16640</v>
      </c>
      <c r="U58" s="2">
        <f t="shared" si="11"/>
        <v>4.6222222222222218</v>
      </c>
      <c r="V58">
        <v>1120</v>
      </c>
      <c r="W58">
        <v>1120</v>
      </c>
      <c r="X58" s="2">
        <f t="shared" si="12"/>
        <v>2240</v>
      </c>
      <c r="Y58" s="2">
        <f t="shared" si="13"/>
        <v>17920</v>
      </c>
      <c r="Z58" s="2">
        <f t="shared" si="14"/>
        <v>4.9777777777777779</v>
      </c>
      <c r="AA58">
        <v>1040</v>
      </c>
      <c r="AB58">
        <v>1040</v>
      </c>
      <c r="AC58" s="2">
        <f t="shared" si="15"/>
        <v>2080</v>
      </c>
      <c r="AD58" s="2">
        <f t="shared" si="16"/>
        <v>16640</v>
      </c>
      <c r="AE58" s="2">
        <f t="shared" si="17"/>
        <v>4.6222222222222218</v>
      </c>
      <c r="AF58">
        <v>960</v>
      </c>
      <c r="AG58">
        <v>960</v>
      </c>
      <c r="AH58" s="2">
        <f t="shared" si="18"/>
        <v>1920</v>
      </c>
      <c r="AI58" s="2">
        <f t="shared" si="19"/>
        <v>15360</v>
      </c>
      <c r="AJ58" s="2">
        <f t="shared" si="20"/>
        <v>4.2666666666666666</v>
      </c>
      <c r="AK58">
        <v>1040</v>
      </c>
      <c r="AL58">
        <v>1040</v>
      </c>
      <c r="AM58" s="2">
        <f t="shared" si="21"/>
        <v>2080</v>
      </c>
      <c r="AN58" s="2">
        <f t="shared" si="22"/>
        <v>16640</v>
      </c>
      <c r="AO58" s="2">
        <f t="shared" si="23"/>
        <v>4.6222222222222218</v>
      </c>
      <c r="AP58">
        <v>1040</v>
      </c>
      <c r="AQ58">
        <v>1040</v>
      </c>
      <c r="AR58" s="2">
        <f t="shared" si="24"/>
        <v>2080</v>
      </c>
      <c r="AS58" s="2">
        <f t="shared" si="25"/>
        <v>16640</v>
      </c>
      <c r="AT58" s="2">
        <f t="shared" si="26"/>
        <v>4.6222222222222218</v>
      </c>
      <c r="AU58">
        <v>960</v>
      </c>
      <c r="AV58">
        <v>960</v>
      </c>
      <c r="AW58" s="2">
        <f t="shared" si="27"/>
        <v>1920</v>
      </c>
      <c r="AX58" s="2">
        <f t="shared" si="28"/>
        <v>15360</v>
      </c>
      <c r="AY58" s="2">
        <f t="shared" si="29"/>
        <v>4.2666666666666666</v>
      </c>
    </row>
    <row r="59" spans="1:51" x14ac:dyDescent="0.3">
      <c r="A59" s="2" t="s">
        <v>63</v>
      </c>
      <c r="B59">
        <v>1120</v>
      </c>
      <c r="C59">
        <v>1120</v>
      </c>
      <c r="D59" s="2">
        <f t="shared" si="0"/>
        <v>2240</v>
      </c>
      <c r="E59" s="2">
        <f t="shared" si="1"/>
        <v>17920</v>
      </c>
      <c r="F59" s="2">
        <f t="shared" si="2"/>
        <v>4.9777777777777779</v>
      </c>
      <c r="G59">
        <v>1040</v>
      </c>
      <c r="H59">
        <v>1040</v>
      </c>
      <c r="I59" s="2">
        <f t="shared" si="3"/>
        <v>2080</v>
      </c>
      <c r="J59" s="2">
        <f t="shared" si="4"/>
        <v>16640</v>
      </c>
      <c r="K59" s="2">
        <f t="shared" si="5"/>
        <v>4.6222222222222218</v>
      </c>
      <c r="L59">
        <v>1120</v>
      </c>
      <c r="M59">
        <v>1120</v>
      </c>
      <c r="N59" s="2">
        <f t="shared" si="6"/>
        <v>2240</v>
      </c>
      <c r="O59" s="2">
        <f t="shared" si="7"/>
        <v>17920</v>
      </c>
      <c r="P59" s="2">
        <f t="shared" si="8"/>
        <v>4.9777777777777779</v>
      </c>
      <c r="Q59">
        <v>960</v>
      </c>
      <c r="R59">
        <v>960</v>
      </c>
      <c r="S59" s="2">
        <f t="shared" si="9"/>
        <v>1920</v>
      </c>
      <c r="T59" s="2">
        <f t="shared" si="10"/>
        <v>15360</v>
      </c>
      <c r="U59" s="2">
        <f t="shared" si="11"/>
        <v>4.2666666666666666</v>
      </c>
      <c r="V59">
        <v>1280</v>
      </c>
      <c r="W59">
        <v>1280</v>
      </c>
      <c r="X59" s="2">
        <f t="shared" si="12"/>
        <v>2560</v>
      </c>
      <c r="Y59" s="2">
        <f t="shared" si="13"/>
        <v>20480</v>
      </c>
      <c r="Z59" s="2">
        <f t="shared" si="14"/>
        <v>5.6888888888888891</v>
      </c>
      <c r="AA59">
        <v>1200</v>
      </c>
      <c r="AB59">
        <v>1200</v>
      </c>
      <c r="AC59" s="2">
        <f t="shared" si="15"/>
        <v>2400</v>
      </c>
      <c r="AD59" s="2">
        <f t="shared" si="16"/>
        <v>19200</v>
      </c>
      <c r="AE59" s="2">
        <f t="shared" si="17"/>
        <v>5.333333333333333</v>
      </c>
      <c r="AF59">
        <v>1120</v>
      </c>
      <c r="AG59">
        <v>1120</v>
      </c>
      <c r="AH59" s="2">
        <f t="shared" si="18"/>
        <v>2240</v>
      </c>
      <c r="AI59" s="2">
        <f t="shared" si="19"/>
        <v>17920</v>
      </c>
      <c r="AJ59" s="2">
        <f t="shared" si="20"/>
        <v>4.9777777777777779</v>
      </c>
      <c r="AK59">
        <v>1120</v>
      </c>
      <c r="AL59">
        <v>1120</v>
      </c>
      <c r="AM59" s="2">
        <f t="shared" si="21"/>
        <v>2240</v>
      </c>
      <c r="AN59" s="2">
        <f t="shared" si="22"/>
        <v>17920</v>
      </c>
      <c r="AO59" s="2">
        <f t="shared" si="23"/>
        <v>4.9777777777777779</v>
      </c>
      <c r="AP59">
        <v>1280</v>
      </c>
      <c r="AQ59">
        <v>1280</v>
      </c>
      <c r="AR59" s="2">
        <f t="shared" si="24"/>
        <v>2560</v>
      </c>
      <c r="AS59" s="2">
        <f t="shared" si="25"/>
        <v>20480</v>
      </c>
      <c r="AT59" s="2">
        <f t="shared" si="26"/>
        <v>5.6888888888888891</v>
      </c>
      <c r="AU59">
        <v>1120</v>
      </c>
      <c r="AV59">
        <v>1120</v>
      </c>
      <c r="AW59" s="2">
        <f t="shared" si="27"/>
        <v>2240</v>
      </c>
      <c r="AX59" s="2">
        <f t="shared" si="28"/>
        <v>17920</v>
      </c>
      <c r="AY59" s="2">
        <f t="shared" si="29"/>
        <v>4.9777777777777779</v>
      </c>
    </row>
    <row r="60" spans="1:51" x14ac:dyDescent="0.3">
      <c r="A60" s="2" t="s">
        <v>64</v>
      </c>
      <c r="B60">
        <v>1040</v>
      </c>
      <c r="C60">
        <v>1040</v>
      </c>
      <c r="D60" s="2">
        <f t="shared" si="0"/>
        <v>2080</v>
      </c>
      <c r="E60" s="2">
        <f t="shared" si="1"/>
        <v>16640</v>
      </c>
      <c r="F60" s="2">
        <f t="shared" si="2"/>
        <v>4.6222222222222218</v>
      </c>
      <c r="G60">
        <v>1120</v>
      </c>
      <c r="H60">
        <v>1120</v>
      </c>
      <c r="I60" s="2">
        <f t="shared" si="3"/>
        <v>2240</v>
      </c>
      <c r="J60" s="2">
        <f t="shared" si="4"/>
        <v>17920</v>
      </c>
      <c r="K60" s="2">
        <f t="shared" si="5"/>
        <v>4.9777777777777779</v>
      </c>
      <c r="L60">
        <v>800</v>
      </c>
      <c r="M60">
        <v>800</v>
      </c>
      <c r="N60" s="2">
        <f t="shared" si="6"/>
        <v>1600</v>
      </c>
      <c r="O60" s="2">
        <f t="shared" si="7"/>
        <v>12800</v>
      </c>
      <c r="P60" s="2">
        <f t="shared" si="8"/>
        <v>3.5555555555555554</v>
      </c>
      <c r="Q60">
        <v>880</v>
      </c>
      <c r="R60">
        <v>880</v>
      </c>
      <c r="S60" s="2">
        <f t="shared" si="9"/>
        <v>1760</v>
      </c>
      <c r="T60" s="2">
        <f t="shared" si="10"/>
        <v>14080</v>
      </c>
      <c r="U60" s="2">
        <f t="shared" si="11"/>
        <v>3.911111111111111</v>
      </c>
      <c r="V60">
        <v>1120</v>
      </c>
      <c r="W60">
        <v>1120</v>
      </c>
      <c r="X60" s="2">
        <f t="shared" si="12"/>
        <v>2240</v>
      </c>
      <c r="Y60" s="2">
        <f t="shared" si="13"/>
        <v>17920</v>
      </c>
      <c r="Z60" s="2">
        <f t="shared" si="14"/>
        <v>4.9777777777777779</v>
      </c>
      <c r="AA60">
        <v>1200</v>
      </c>
      <c r="AB60">
        <v>1200</v>
      </c>
      <c r="AC60" s="2">
        <f t="shared" si="15"/>
        <v>2400</v>
      </c>
      <c r="AD60" s="2">
        <f t="shared" si="16"/>
        <v>19200</v>
      </c>
      <c r="AE60" s="2">
        <f t="shared" si="17"/>
        <v>5.333333333333333</v>
      </c>
      <c r="AF60">
        <v>960</v>
      </c>
      <c r="AG60">
        <v>960</v>
      </c>
      <c r="AH60" s="2">
        <f t="shared" si="18"/>
        <v>1920</v>
      </c>
      <c r="AI60" s="2">
        <f t="shared" si="19"/>
        <v>15360</v>
      </c>
      <c r="AJ60" s="2">
        <f t="shared" si="20"/>
        <v>4.2666666666666666</v>
      </c>
      <c r="AK60">
        <v>1280</v>
      </c>
      <c r="AL60">
        <v>1280</v>
      </c>
      <c r="AM60" s="2">
        <f t="shared" si="21"/>
        <v>2560</v>
      </c>
      <c r="AN60" s="2">
        <f t="shared" si="22"/>
        <v>20480</v>
      </c>
      <c r="AO60" s="2">
        <f t="shared" si="23"/>
        <v>5.6888888888888891</v>
      </c>
      <c r="AP60">
        <v>1040</v>
      </c>
      <c r="AQ60">
        <v>1040</v>
      </c>
      <c r="AR60" s="2">
        <f t="shared" si="24"/>
        <v>2080</v>
      </c>
      <c r="AS60" s="2">
        <f t="shared" si="25"/>
        <v>16640</v>
      </c>
      <c r="AT60" s="2">
        <f t="shared" si="26"/>
        <v>4.6222222222222218</v>
      </c>
      <c r="AU60">
        <v>1200</v>
      </c>
      <c r="AV60">
        <v>1200</v>
      </c>
      <c r="AW60" s="2">
        <f t="shared" si="27"/>
        <v>2400</v>
      </c>
      <c r="AX60" s="2">
        <f t="shared" si="28"/>
        <v>19200</v>
      </c>
      <c r="AY60" s="2">
        <f t="shared" si="29"/>
        <v>5.333333333333333</v>
      </c>
    </row>
    <row r="61" spans="1:51" x14ac:dyDescent="0.3">
      <c r="A61" s="2" t="s">
        <v>65</v>
      </c>
      <c r="B61">
        <v>1120</v>
      </c>
      <c r="C61">
        <v>1120</v>
      </c>
      <c r="D61" s="2">
        <f t="shared" si="0"/>
        <v>2240</v>
      </c>
      <c r="E61" s="2">
        <f t="shared" si="1"/>
        <v>17920</v>
      </c>
      <c r="F61" s="2">
        <f t="shared" si="2"/>
        <v>4.9777777777777779</v>
      </c>
      <c r="G61">
        <v>960</v>
      </c>
      <c r="H61">
        <v>960</v>
      </c>
      <c r="I61" s="2">
        <f t="shared" si="3"/>
        <v>1920</v>
      </c>
      <c r="J61" s="2">
        <f t="shared" si="4"/>
        <v>15360</v>
      </c>
      <c r="K61" s="2">
        <f t="shared" si="5"/>
        <v>4.2666666666666666</v>
      </c>
      <c r="L61">
        <v>960</v>
      </c>
      <c r="M61">
        <v>960</v>
      </c>
      <c r="N61" s="2">
        <f t="shared" si="6"/>
        <v>1920</v>
      </c>
      <c r="O61" s="2">
        <f t="shared" si="7"/>
        <v>15360</v>
      </c>
      <c r="P61" s="2">
        <f t="shared" si="8"/>
        <v>4.2666666666666666</v>
      </c>
      <c r="Q61">
        <v>1040</v>
      </c>
      <c r="R61">
        <v>1040</v>
      </c>
      <c r="S61" s="2">
        <f t="shared" si="9"/>
        <v>2080</v>
      </c>
      <c r="T61" s="2">
        <f t="shared" si="10"/>
        <v>16640</v>
      </c>
      <c r="U61" s="2">
        <f t="shared" si="11"/>
        <v>4.6222222222222218</v>
      </c>
      <c r="V61">
        <v>880</v>
      </c>
      <c r="W61">
        <v>880</v>
      </c>
      <c r="X61" s="2">
        <f t="shared" si="12"/>
        <v>1760</v>
      </c>
      <c r="Y61" s="2">
        <f t="shared" si="13"/>
        <v>14080</v>
      </c>
      <c r="Z61" s="2">
        <f t="shared" si="14"/>
        <v>3.911111111111111</v>
      </c>
      <c r="AA61">
        <v>960</v>
      </c>
      <c r="AB61">
        <v>960</v>
      </c>
      <c r="AC61" s="2">
        <f t="shared" si="15"/>
        <v>1920</v>
      </c>
      <c r="AD61" s="2">
        <f t="shared" si="16"/>
        <v>15360</v>
      </c>
      <c r="AE61" s="2">
        <f t="shared" si="17"/>
        <v>4.2666666666666666</v>
      </c>
      <c r="AF61">
        <v>880</v>
      </c>
      <c r="AG61">
        <v>880</v>
      </c>
      <c r="AH61" s="2">
        <f t="shared" si="18"/>
        <v>1760</v>
      </c>
      <c r="AI61" s="2">
        <f t="shared" si="19"/>
        <v>14080</v>
      </c>
      <c r="AJ61" s="2">
        <f t="shared" si="20"/>
        <v>3.911111111111111</v>
      </c>
      <c r="AK61">
        <v>1120</v>
      </c>
      <c r="AL61">
        <v>1120</v>
      </c>
      <c r="AM61" s="2">
        <f t="shared" si="21"/>
        <v>2240</v>
      </c>
      <c r="AN61" s="2">
        <f t="shared" si="22"/>
        <v>17920</v>
      </c>
      <c r="AO61" s="2">
        <f t="shared" si="23"/>
        <v>4.9777777777777779</v>
      </c>
      <c r="AP61">
        <v>1120</v>
      </c>
      <c r="AQ61">
        <v>1120</v>
      </c>
      <c r="AR61" s="2">
        <f t="shared" si="24"/>
        <v>2240</v>
      </c>
      <c r="AS61" s="2">
        <f t="shared" si="25"/>
        <v>17920</v>
      </c>
      <c r="AT61" s="2">
        <f t="shared" si="26"/>
        <v>4.9777777777777779</v>
      </c>
      <c r="AU61">
        <v>960</v>
      </c>
      <c r="AV61">
        <v>960</v>
      </c>
      <c r="AW61" s="2">
        <f t="shared" si="27"/>
        <v>1920</v>
      </c>
      <c r="AX61" s="2">
        <f t="shared" si="28"/>
        <v>15360</v>
      </c>
      <c r="AY61" s="2">
        <f t="shared" si="29"/>
        <v>4.2666666666666666</v>
      </c>
    </row>
    <row r="62" spans="1:51" x14ac:dyDescent="0.3">
      <c r="A62" s="2" t="s">
        <v>66</v>
      </c>
      <c r="B62">
        <v>800</v>
      </c>
      <c r="C62">
        <v>800</v>
      </c>
      <c r="D62" s="2">
        <f t="shared" si="0"/>
        <v>1600</v>
      </c>
      <c r="E62" s="2">
        <f t="shared" si="1"/>
        <v>12800</v>
      </c>
      <c r="F62" s="2">
        <f t="shared" si="2"/>
        <v>3.5555555555555554</v>
      </c>
      <c r="G62">
        <v>1040</v>
      </c>
      <c r="H62">
        <v>1040</v>
      </c>
      <c r="I62" s="2">
        <f t="shared" si="3"/>
        <v>2080</v>
      </c>
      <c r="J62" s="2">
        <f t="shared" si="4"/>
        <v>16640</v>
      </c>
      <c r="K62" s="2">
        <f t="shared" si="5"/>
        <v>4.6222222222222218</v>
      </c>
      <c r="L62">
        <v>800</v>
      </c>
      <c r="M62">
        <v>800</v>
      </c>
      <c r="N62" s="2">
        <f t="shared" si="6"/>
        <v>1600</v>
      </c>
      <c r="O62" s="2">
        <f t="shared" si="7"/>
        <v>12800</v>
      </c>
      <c r="P62" s="2">
        <f t="shared" si="8"/>
        <v>3.5555555555555554</v>
      </c>
      <c r="Q62">
        <v>1040</v>
      </c>
      <c r="R62">
        <v>1040</v>
      </c>
      <c r="S62" s="2">
        <f t="shared" si="9"/>
        <v>2080</v>
      </c>
      <c r="T62" s="2">
        <f t="shared" si="10"/>
        <v>16640</v>
      </c>
      <c r="U62" s="2">
        <f t="shared" si="11"/>
        <v>4.6222222222222218</v>
      </c>
      <c r="V62">
        <v>1040</v>
      </c>
      <c r="W62">
        <v>1040</v>
      </c>
      <c r="X62" s="2">
        <f t="shared" si="12"/>
        <v>2080</v>
      </c>
      <c r="Y62" s="2">
        <f t="shared" si="13"/>
        <v>16640</v>
      </c>
      <c r="Z62" s="2">
        <f t="shared" si="14"/>
        <v>4.6222222222222218</v>
      </c>
      <c r="AA62">
        <v>880</v>
      </c>
      <c r="AB62">
        <v>880</v>
      </c>
      <c r="AC62" s="2">
        <f t="shared" si="15"/>
        <v>1760</v>
      </c>
      <c r="AD62" s="2">
        <f t="shared" si="16"/>
        <v>14080</v>
      </c>
      <c r="AE62" s="2">
        <f t="shared" si="17"/>
        <v>3.911111111111111</v>
      </c>
      <c r="AF62">
        <v>1120</v>
      </c>
      <c r="AG62">
        <v>1120</v>
      </c>
      <c r="AH62" s="2">
        <f t="shared" si="18"/>
        <v>2240</v>
      </c>
      <c r="AI62" s="2">
        <f t="shared" si="19"/>
        <v>17920</v>
      </c>
      <c r="AJ62" s="2">
        <f t="shared" si="20"/>
        <v>4.9777777777777779</v>
      </c>
      <c r="AK62">
        <v>1040</v>
      </c>
      <c r="AL62">
        <v>1040</v>
      </c>
      <c r="AM62" s="2">
        <f t="shared" si="21"/>
        <v>2080</v>
      </c>
      <c r="AN62" s="2">
        <f t="shared" si="22"/>
        <v>16640</v>
      </c>
      <c r="AO62" s="2">
        <f t="shared" si="23"/>
        <v>4.6222222222222218</v>
      </c>
      <c r="AP62">
        <v>960</v>
      </c>
      <c r="AQ62">
        <v>960</v>
      </c>
      <c r="AR62" s="2">
        <f t="shared" si="24"/>
        <v>1920</v>
      </c>
      <c r="AS62" s="2">
        <f t="shared" si="25"/>
        <v>15360</v>
      </c>
      <c r="AT62" s="2">
        <f t="shared" si="26"/>
        <v>4.2666666666666666</v>
      </c>
      <c r="AU62">
        <v>1120</v>
      </c>
      <c r="AV62">
        <v>1120</v>
      </c>
      <c r="AW62" s="2">
        <f t="shared" si="27"/>
        <v>2240</v>
      </c>
      <c r="AX62" s="2">
        <f t="shared" si="28"/>
        <v>17920</v>
      </c>
      <c r="AY62" s="2">
        <f t="shared" si="29"/>
        <v>4.9777777777777779</v>
      </c>
    </row>
    <row r="63" spans="1:51" x14ac:dyDescent="0.3">
      <c r="A63" s="2" t="s">
        <v>67</v>
      </c>
      <c r="B63">
        <v>1040</v>
      </c>
      <c r="C63">
        <v>1040</v>
      </c>
      <c r="D63" s="2">
        <f t="shared" si="0"/>
        <v>2080</v>
      </c>
      <c r="E63" s="2">
        <f t="shared" si="1"/>
        <v>16640</v>
      </c>
      <c r="F63" s="2">
        <f t="shared" si="2"/>
        <v>4.6222222222222218</v>
      </c>
      <c r="G63">
        <v>1040</v>
      </c>
      <c r="H63">
        <v>1040</v>
      </c>
      <c r="I63" s="2">
        <f t="shared" si="3"/>
        <v>2080</v>
      </c>
      <c r="J63" s="2">
        <f t="shared" si="4"/>
        <v>16640</v>
      </c>
      <c r="K63" s="2">
        <f t="shared" si="5"/>
        <v>4.6222222222222218</v>
      </c>
      <c r="L63">
        <v>1040</v>
      </c>
      <c r="M63">
        <v>1040</v>
      </c>
      <c r="N63" s="2">
        <f t="shared" si="6"/>
        <v>2080</v>
      </c>
      <c r="O63" s="2">
        <f t="shared" si="7"/>
        <v>16640</v>
      </c>
      <c r="P63" s="2">
        <f t="shared" si="8"/>
        <v>4.6222222222222218</v>
      </c>
      <c r="Q63">
        <v>1120</v>
      </c>
      <c r="R63">
        <v>1120</v>
      </c>
      <c r="S63" s="2">
        <f t="shared" si="9"/>
        <v>2240</v>
      </c>
      <c r="T63" s="2">
        <f t="shared" si="10"/>
        <v>17920</v>
      </c>
      <c r="U63" s="2">
        <f t="shared" si="11"/>
        <v>4.9777777777777779</v>
      </c>
      <c r="V63">
        <v>1280</v>
      </c>
      <c r="W63">
        <v>1280</v>
      </c>
      <c r="X63" s="2">
        <f t="shared" si="12"/>
        <v>2560</v>
      </c>
      <c r="Y63" s="2">
        <f t="shared" si="13"/>
        <v>20480</v>
      </c>
      <c r="Z63" s="2">
        <f t="shared" si="14"/>
        <v>5.6888888888888891</v>
      </c>
      <c r="AA63">
        <v>1040</v>
      </c>
      <c r="AB63">
        <v>1040</v>
      </c>
      <c r="AC63" s="2">
        <f t="shared" si="15"/>
        <v>2080</v>
      </c>
      <c r="AD63" s="2">
        <f t="shared" si="16"/>
        <v>16640</v>
      </c>
      <c r="AE63" s="2">
        <f t="shared" si="17"/>
        <v>4.6222222222222218</v>
      </c>
      <c r="AF63">
        <v>1200</v>
      </c>
      <c r="AG63">
        <v>1200</v>
      </c>
      <c r="AH63" s="2">
        <f t="shared" si="18"/>
        <v>2400</v>
      </c>
      <c r="AI63" s="2">
        <f t="shared" si="19"/>
        <v>19200</v>
      </c>
      <c r="AJ63" s="2">
        <f t="shared" si="20"/>
        <v>5.333333333333333</v>
      </c>
      <c r="AK63">
        <v>1200</v>
      </c>
      <c r="AL63">
        <v>1200</v>
      </c>
      <c r="AM63" s="2">
        <f t="shared" si="21"/>
        <v>2400</v>
      </c>
      <c r="AN63" s="2">
        <f t="shared" si="22"/>
        <v>19200</v>
      </c>
      <c r="AO63" s="2">
        <f t="shared" si="23"/>
        <v>5.333333333333333</v>
      </c>
      <c r="AP63">
        <v>800</v>
      </c>
      <c r="AQ63">
        <v>800</v>
      </c>
      <c r="AR63" s="2">
        <f t="shared" si="24"/>
        <v>1600</v>
      </c>
      <c r="AS63" s="2">
        <f t="shared" si="25"/>
        <v>12800</v>
      </c>
      <c r="AT63" s="2">
        <f t="shared" si="26"/>
        <v>3.5555555555555554</v>
      </c>
      <c r="AU63">
        <v>1120</v>
      </c>
      <c r="AV63">
        <v>1120</v>
      </c>
      <c r="AW63" s="2">
        <f t="shared" si="27"/>
        <v>2240</v>
      </c>
      <c r="AX63" s="2">
        <f t="shared" si="28"/>
        <v>17920</v>
      </c>
      <c r="AY63" s="2">
        <f t="shared" si="29"/>
        <v>4.9777777777777779</v>
      </c>
    </row>
    <row r="64" spans="1:51" x14ac:dyDescent="0.3">
      <c r="A64" s="2" t="s">
        <v>68</v>
      </c>
      <c r="B64">
        <v>1040</v>
      </c>
      <c r="C64">
        <v>1040</v>
      </c>
      <c r="D64" s="2">
        <f t="shared" si="0"/>
        <v>2080</v>
      </c>
      <c r="E64" s="2">
        <f t="shared" si="1"/>
        <v>16640</v>
      </c>
      <c r="F64" s="2">
        <f t="shared" si="2"/>
        <v>4.6222222222222218</v>
      </c>
      <c r="G64">
        <v>1120</v>
      </c>
      <c r="H64">
        <v>1120</v>
      </c>
      <c r="I64" s="2">
        <f t="shared" si="3"/>
        <v>2240</v>
      </c>
      <c r="J64" s="2">
        <f t="shared" si="4"/>
        <v>17920</v>
      </c>
      <c r="K64" s="2">
        <f t="shared" si="5"/>
        <v>4.9777777777777779</v>
      </c>
      <c r="L64">
        <v>1040</v>
      </c>
      <c r="M64">
        <v>1040</v>
      </c>
      <c r="N64" s="2">
        <f t="shared" si="6"/>
        <v>2080</v>
      </c>
      <c r="O64" s="2">
        <f t="shared" si="7"/>
        <v>16640</v>
      </c>
      <c r="P64" s="2">
        <f t="shared" si="8"/>
        <v>4.6222222222222218</v>
      </c>
      <c r="Q64">
        <v>1120</v>
      </c>
      <c r="R64">
        <v>1120</v>
      </c>
      <c r="S64" s="2">
        <f t="shared" si="9"/>
        <v>2240</v>
      </c>
      <c r="T64" s="2">
        <f t="shared" si="10"/>
        <v>17920</v>
      </c>
      <c r="U64" s="2">
        <f t="shared" si="11"/>
        <v>4.9777777777777779</v>
      </c>
      <c r="V64">
        <v>1040</v>
      </c>
      <c r="W64">
        <v>1040</v>
      </c>
      <c r="X64" s="2">
        <f t="shared" si="12"/>
        <v>2080</v>
      </c>
      <c r="Y64" s="2">
        <f t="shared" si="13"/>
        <v>16640</v>
      </c>
      <c r="Z64" s="2">
        <f t="shared" si="14"/>
        <v>4.6222222222222218</v>
      </c>
      <c r="AA64">
        <v>1200</v>
      </c>
      <c r="AB64">
        <v>1200</v>
      </c>
      <c r="AC64" s="2">
        <f t="shared" si="15"/>
        <v>2400</v>
      </c>
      <c r="AD64" s="2">
        <f t="shared" si="16"/>
        <v>19200</v>
      </c>
      <c r="AE64" s="2">
        <f t="shared" si="17"/>
        <v>5.333333333333333</v>
      </c>
      <c r="AF64">
        <v>1040</v>
      </c>
      <c r="AG64">
        <v>1040</v>
      </c>
      <c r="AH64" s="2">
        <f t="shared" si="18"/>
        <v>2080</v>
      </c>
      <c r="AI64" s="2">
        <f t="shared" si="19"/>
        <v>16640</v>
      </c>
      <c r="AJ64" s="2">
        <f t="shared" si="20"/>
        <v>4.6222222222222218</v>
      </c>
      <c r="AK64">
        <v>1280</v>
      </c>
      <c r="AL64">
        <v>1280</v>
      </c>
      <c r="AM64" s="2">
        <f t="shared" si="21"/>
        <v>2560</v>
      </c>
      <c r="AN64" s="2">
        <f t="shared" si="22"/>
        <v>20480</v>
      </c>
      <c r="AO64" s="2">
        <f t="shared" si="23"/>
        <v>5.6888888888888891</v>
      </c>
      <c r="AP64">
        <v>1040</v>
      </c>
      <c r="AQ64">
        <v>1040</v>
      </c>
      <c r="AR64" s="2">
        <f t="shared" si="24"/>
        <v>2080</v>
      </c>
      <c r="AS64" s="2">
        <f t="shared" si="25"/>
        <v>16640</v>
      </c>
      <c r="AT64" s="2">
        <f t="shared" si="26"/>
        <v>4.6222222222222218</v>
      </c>
      <c r="AU64">
        <v>1120</v>
      </c>
      <c r="AV64">
        <v>1120</v>
      </c>
      <c r="AW64" s="2">
        <f t="shared" si="27"/>
        <v>2240</v>
      </c>
      <c r="AX64" s="2">
        <f t="shared" si="28"/>
        <v>17920</v>
      </c>
      <c r="AY64" s="2">
        <f t="shared" si="29"/>
        <v>4.9777777777777779</v>
      </c>
    </row>
    <row r="65" spans="1:51" x14ac:dyDescent="0.3">
      <c r="A65" s="2" t="s">
        <v>69</v>
      </c>
      <c r="B65">
        <v>1200</v>
      </c>
      <c r="C65">
        <v>1200</v>
      </c>
      <c r="D65" s="2">
        <f t="shared" si="0"/>
        <v>2400</v>
      </c>
      <c r="E65" s="2">
        <f t="shared" si="1"/>
        <v>19200</v>
      </c>
      <c r="F65" s="2">
        <f t="shared" si="2"/>
        <v>5.333333333333333</v>
      </c>
      <c r="G65">
        <v>1200</v>
      </c>
      <c r="H65">
        <v>1200</v>
      </c>
      <c r="I65" s="2">
        <f t="shared" si="3"/>
        <v>2400</v>
      </c>
      <c r="J65" s="2">
        <f t="shared" si="4"/>
        <v>19200</v>
      </c>
      <c r="K65" s="2">
        <f t="shared" si="5"/>
        <v>5.333333333333333</v>
      </c>
      <c r="L65">
        <v>1040</v>
      </c>
      <c r="M65">
        <v>1040</v>
      </c>
      <c r="N65" s="2">
        <f t="shared" si="6"/>
        <v>2080</v>
      </c>
      <c r="O65" s="2">
        <f t="shared" si="7"/>
        <v>16640</v>
      </c>
      <c r="P65" s="2">
        <f t="shared" si="8"/>
        <v>4.6222222222222218</v>
      </c>
      <c r="Q65">
        <v>1280</v>
      </c>
      <c r="R65">
        <v>1280</v>
      </c>
      <c r="S65" s="2">
        <f t="shared" si="9"/>
        <v>2560</v>
      </c>
      <c r="T65" s="2">
        <f t="shared" si="10"/>
        <v>20480</v>
      </c>
      <c r="U65" s="2">
        <f t="shared" si="11"/>
        <v>5.6888888888888891</v>
      </c>
      <c r="V65">
        <v>1200</v>
      </c>
      <c r="W65">
        <v>1200</v>
      </c>
      <c r="X65" s="2">
        <f t="shared" si="12"/>
        <v>2400</v>
      </c>
      <c r="Y65" s="2">
        <f t="shared" si="13"/>
        <v>19200</v>
      </c>
      <c r="Z65" s="2">
        <f t="shared" si="14"/>
        <v>5.333333333333333</v>
      </c>
      <c r="AA65">
        <v>1120</v>
      </c>
      <c r="AB65">
        <v>1120</v>
      </c>
      <c r="AC65" s="2">
        <f t="shared" si="15"/>
        <v>2240</v>
      </c>
      <c r="AD65" s="2">
        <f t="shared" si="16"/>
        <v>17920</v>
      </c>
      <c r="AE65" s="2">
        <f t="shared" si="17"/>
        <v>4.9777777777777779</v>
      </c>
      <c r="AF65">
        <v>1200</v>
      </c>
      <c r="AG65">
        <v>1200</v>
      </c>
      <c r="AH65" s="2">
        <f t="shared" si="18"/>
        <v>2400</v>
      </c>
      <c r="AI65" s="2">
        <f t="shared" si="19"/>
        <v>19200</v>
      </c>
      <c r="AJ65" s="2">
        <f t="shared" si="20"/>
        <v>5.333333333333333</v>
      </c>
      <c r="AK65">
        <v>1120</v>
      </c>
      <c r="AL65">
        <v>1120</v>
      </c>
      <c r="AM65" s="2">
        <f t="shared" si="21"/>
        <v>2240</v>
      </c>
      <c r="AN65" s="2">
        <f t="shared" si="22"/>
        <v>17920</v>
      </c>
      <c r="AO65" s="2">
        <f t="shared" si="23"/>
        <v>4.9777777777777779</v>
      </c>
      <c r="AP65">
        <v>1040</v>
      </c>
      <c r="AQ65">
        <v>1040</v>
      </c>
      <c r="AR65" s="2">
        <f t="shared" si="24"/>
        <v>2080</v>
      </c>
      <c r="AS65" s="2">
        <f t="shared" si="25"/>
        <v>16640</v>
      </c>
      <c r="AT65" s="2">
        <f t="shared" si="26"/>
        <v>4.6222222222222218</v>
      </c>
      <c r="AU65">
        <v>960</v>
      </c>
      <c r="AV65">
        <v>960</v>
      </c>
      <c r="AW65" s="2">
        <f t="shared" si="27"/>
        <v>1920</v>
      </c>
      <c r="AX65" s="2">
        <f t="shared" si="28"/>
        <v>15360</v>
      </c>
      <c r="AY65" s="2">
        <f t="shared" si="29"/>
        <v>4.2666666666666666</v>
      </c>
    </row>
    <row r="66" spans="1:51" x14ac:dyDescent="0.3">
      <c r="A66" s="2" t="s">
        <v>70</v>
      </c>
      <c r="B66">
        <v>1280</v>
      </c>
      <c r="C66">
        <v>1280</v>
      </c>
      <c r="D66" s="2">
        <f t="shared" si="0"/>
        <v>2560</v>
      </c>
      <c r="E66" s="2">
        <f t="shared" si="1"/>
        <v>20480</v>
      </c>
      <c r="F66" s="2">
        <f t="shared" si="2"/>
        <v>5.6888888888888891</v>
      </c>
      <c r="G66">
        <v>1120</v>
      </c>
      <c r="H66">
        <v>1120</v>
      </c>
      <c r="I66" s="2">
        <f t="shared" si="3"/>
        <v>2240</v>
      </c>
      <c r="J66" s="2">
        <f t="shared" si="4"/>
        <v>17920</v>
      </c>
      <c r="K66" s="2">
        <f t="shared" si="5"/>
        <v>4.9777777777777779</v>
      </c>
      <c r="L66">
        <v>1040</v>
      </c>
      <c r="M66">
        <v>1040</v>
      </c>
      <c r="N66" s="2">
        <f t="shared" si="6"/>
        <v>2080</v>
      </c>
      <c r="O66" s="2">
        <f t="shared" si="7"/>
        <v>16640</v>
      </c>
      <c r="P66" s="2">
        <f t="shared" si="8"/>
        <v>4.6222222222222218</v>
      </c>
      <c r="Q66">
        <v>880</v>
      </c>
      <c r="R66">
        <v>880</v>
      </c>
      <c r="S66" s="2">
        <f t="shared" si="9"/>
        <v>1760</v>
      </c>
      <c r="T66" s="2">
        <f t="shared" si="10"/>
        <v>14080</v>
      </c>
      <c r="U66" s="2">
        <f t="shared" si="11"/>
        <v>3.911111111111111</v>
      </c>
      <c r="V66">
        <v>1120</v>
      </c>
      <c r="W66">
        <v>1120</v>
      </c>
      <c r="X66" s="2">
        <f t="shared" si="12"/>
        <v>2240</v>
      </c>
      <c r="Y66" s="2">
        <f t="shared" si="13"/>
        <v>17920</v>
      </c>
      <c r="Z66" s="2">
        <f t="shared" si="14"/>
        <v>4.9777777777777779</v>
      </c>
      <c r="AA66">
        <v>1120</v>
      </c>
      <c r="AB66">
        <v>1120</v>
      </c>
      <c r="AC66" s="2">
        <f t="shared" si="15"/>
        <v>2240</v>
      </c>
      <c r="AD66" s="2">
        <f t="shared" si="16"/>
        <v>17920</v>
      </c>
      <c r="AE66" s="2">
        <f t="shared" si="17"/>
        <v>4.9777777777777779</v>
      </c>
      <c r="AF66">
        <v>1120</v>
      </c>
      <c r="AG66">
        <v>1120</v>
      </c>
      <c r="AH66" s="2">
        <f t="shared" si="18"/>
        <v>2240</v>
      </c>
      <c r="AI66" s="2">
        <f t="shared" si="19"/>
        <v>17920</v>
      </c>
      <c r="AJ66" s="2">
        <f t="shared" si="20"/>
        <v>4.9777777777777779</v>
      </c>
      <c r="AK66">
        <v>1040</v>
      </c>
      <c r="AL66">
        <v>1040</v>
      </c>
      <c r="AM66" s="2">
        <f t="shared" si="21"/>
        <v>2080</v>
      </c>
      <c r="AN66" s="2">
        <f t="shared" si="22"/>
        <v>16640</v>
      </c>
      <c r="AO66" s="2">
        <f t="shared" si="23"/>
        <v>4.6222222222222218</v>
      </c>
      <c r="AP66">
        <v>1040</v>
      </c>
      <c r="AQ66">
        <v>1040</v>
      </c>
      <c r="AR66" s="2">
        <f t="shared" si="24"/>
        <v>2080</v>
      </c>
      <c r="AS66" s="2">
        <f t="shared" si="25"/>
        <v>16640</v>
      </c>
      <c r="AT66" s="2">
        <f t="shared" si="26"/>
        <v>4.6222222222222218</v>
      </c>
      <c r="AU66">
        <v>1120</v>
      </c>
      <c r="AV66">
        <v>1120</v>
      </c>
      <c r="AW66" s="2">
        <f t="shared" si="27"/>
        <v>2240</v>
      </c>
      <c r="AX66" s="2">
        <f t="shared" si="28"/>
        <v>17920</v>
      </c>
      <c r="AY66" s="2">
        <f t="shared" si="29"/>
        <v>4.9777777777777779</v>
      </c>
    </row>
    <row r="67" spans="1:51" x14ac:dyDescent="0.3">
      <c r="A67" s="2" t="s">
        <v>71</v>
      </c>
      <c r="B67">
        <v>1120</v>
      </c>
      <c r="C67">
        <v>1120</v>
      </c>
      <c r="D67" s="2">
        <f t="shared" si="0"/>
        <v>2240</v>
      </c>
      <c r="E67" s="2">
        <f t="shared" si="1"/>
        <v>17920</v>
      </c>
      <c r="F67" s="2">
        <f t="shared" si="2"/>
        <v>4.9777777777777779</v>
      </c>
      <c r="G67">
        <v>1040</v>
      </c>
      <c r="H67">
        <v>1040</v>
      </c>
      <c r="I67" s="2">
        <f t="shared" si="3"/>
        <v>2080</v>
      </c>
      <c r="J67" s="2">
        <f t="shared" si="4"/>
        <v>16640</v>
      </c>
      <c r="K67" s="2">
        <f t="shared" si="5"/>
        <v>4.6222222222222218</v>
      </c>
      <c r="L67">
        <v>1120</v>
      </c>
      <c r="M67">
        <v>1120</v>
      </c>
      <c r="N67" s="2">
        <f t="shared" si="6"/>
        <v>2240</v>
      </c>
      <c r="O67" s="2">
        <f t="shared" si="7"/>
        <v>17920</v>
      </c>
      <c r="P67" s="2">
        <f t="shared" si="8"/>
        <v>4.9777777777777779</v>
      </c>
      <c r="Q67">
        <v>1040</v>
      </c>
      <c r="R67">
        <v>1040</v>
      </c>
      <c r="S67" s="2">
        <f t="shared" si="9"/>
        <v>2080</v>
      </c>
      <c r="T67" s="2">
        <f t="shared" si="10"/>
        <v>16640</v>
      </c>
      <c r="U67" s="2">
        <f t="shared" si="11"/>
        <v>4.6222222222222218</v>
      </c>
      <c r="V67">
        <v>880</v>
      </c>
      <c r="W67">
        <v>880</v>
      </c>
      <c r="X67" s="2">
        <f t="shared" si="12"/>
        <v>1760</v>
      </c>
      <c r="Y67" s="2">
        <f t="shared" si="13"/>
        <v>14080</v>
      </c>
      <c r="Z67" s="2">
        <f t="shared" si="14"/>
        <v>3.911111111111111</v>
      </c>
      <c r="AA67">
        <v>1040</v>
      </c>
      <c r="AB67">
        <v>1040</v>
      </c>
      <c r="AC67" s="2">
        <f t="shared" si="15"/>
        <v>2080</v>
      </c>
      <c r="AD67" s="2">
        <f t="shared" si="16"/>
        <v>16640</v>
      </c>
      <c r="AE67" s="2">
        <f t="shared" si="17"/>
        <v>4.6222222222222218</v>
      </c>
      <c r="AF67">
        <v>1040</v>
      </c>
      <c r="AG67">
        <v>1040</v>
      </c>
      <c r="AH67" s="2">
        <f t="shared" si="18"/>
        <v>2080</v>
      </c>
      <c r="AI67" s="2">
        <f t="shared" si="19"/>
        <v>16640</v>
      </c>
      <c r="AJ67" s="2">
        <f t="shared" si="20"/>
        <v>4.6222222222222218</v>
      </c>
      <c r="AK67">
        <v>1280</v>
      </c>
      <c r="AL67">
        <v>1280</v>
      </c>
      <c r="AM67" s="2">
        <f t="shared" si="21"/>
        <v>2560</v>
      </c>
      <c r="AN67" s="2">
        <f t="shared" si="22"/>
        <v>20480</v>
      </c>
      <c r="AO67" s="2">
        <f t="shared" si="23"/>
        <v>5.6888888888888891</v>
      </c>
      <c r="AP67">
        <v>1120</v>
      </c>
      <c r="AQ67">
        <v>1120</v>
      </c>
      <c r="AR67" s="2">
        <f t="shared" si="24"/>
        <v>2240</v>
      </c>
      <c r="AS67" s="2">
        <f t="shared" si="25"/>
        <v>17920</v>
      </c>
      <c r="AT67" s="2">
        <f t="shared" si="26"/>
        <v>4.9777777777777779</v>
      </c>
      <c r="AU67">
        <v>1280</v>
      </c>
      <c r="AV67">
        <v>1280</v>
      </c>
      <c r="AW67" s="2">
        <f t="shared" si="27"/>
        <v>2560</v>
      </c>
      <c r="AX67" s="2">
        <f t="shared" si="28"/>
        <v>20480</v>
      </c>
      <c r="AY67" s="2">
        <f t="shared" si="29"/>
        <v>5.6888888888888891</v>
      </c>
    </row>
    <row r="68" spans="1:51" x14ac:dyDescent="0.3">
      <c r="A68" s="2" t="s">
        <v>72</v>
      </c>
      <c r="B68">
        <v>720</v>
      </c>
      <c r="C68">
        <v>720</v>
      </c>
      <c r="D68" s="2">
        <f t="shared" ref="D68:D102" si="30">SUM(B68:C68)</f>
        <v>1440</v>
      </c>
      <c r="E68" s="2">
        <f t="shared" ref="E68:E102" si="31">(D68*8)</f>
        <v>11520</v>
      </c>
      <c r="F68" s="2">
        <f t="shared" ref="F68:F102" si="32">(E68/3600)</f>
        <v>3.2</v>
      </c>
      <c r="G68">
        <v>960</v>
      </c>
      <c r="H68">
        <v>960</v>
      </c>
      <c r="I68" s="2">
        <f t="shared" ref="I68:I102" si="33">SUM(G68:H68)</f>
        <v>1920</v>
      </c>
      <c r="J68" s="2">
        <f t="shared" ref="J68:J102" si="34">(I68*8)</f>
        <v>15360</v>
      </c>
      <c r="K68" s="2">
        <f t="shared" ref="K68:K102" si="35">(J68/3600)</f>
        <v>4.2666666666666666</v>
      </c>
      <c r="L68">
        <v>1040</v>
      </c>
      <c r="M68">
        <v>1040</v>
      </c>
      <c r="N68" s="2">
        <f t="shared" ref="N68:N102" si="36">SUM(L68:M68)</f>
        <v>2080</v>
      </c>
      <c r="O68" s="2">
        <f t="shared" ref="O68:O102" si="37">(N68*8)</f>
        <v>16640</v>
      </c>
      <c r="P68" s="2">
        <f t="shared" ref="P68:P102" si="38">(O68/3600)</f>
        <v>4.6222222222222218</v>
      </c>
      <c r="Q68">
        <v>960</v>
      </c>
      <c r="R68">
        <v>960</v>
      </c>
      <c r="S68" s="2">
        <f t="shared" ref="S68:S102" si="39">SUM(Q68:R68)</f>
        <v>1920</v>
      </c>
      <c r="T68" s="2">
        <f t="shared" ref="T68:T102" si="40">(S68*8)</f>
        <v>15360</v>
      </c>
      <c r="U68" s="2">
        <f t="shared" ref="U68:U102" si="41">(T68/3600)</f>
        <v>4.2666666666666666</v>
      </c>
      <c r="V68">
        <v>1120</v>
      </c>
      <c r="W68">
        <v>1120</v>
      </c>
      <c r="X68" s="2">
        <f t="shared" ref="X68:X102" si="42">SUM(V68:W68)</f>
        <v>2240</v>
      </c>
      <c r="Y68" s="2">
        <f t="shared" ref="Y68:Y102" si="43">(X68*8)</f>
        <v>17920</v>
      </c>
      <c r="Z68" s="2">
        <f t="shared" ref="Z68:Z102" si="44">(Y68/3600)</f>
        <v>4.9777777777777779</v>
      </c>
      <c r="AA68">
        <v>960</v>
      </c>
      <c r="AB68">
        <v>960</v>
      </c>
      <c r="AC68" s="2">
        <f t="shared" ref="AC68:AC102" si="45">SUM(AA68:AB68)</f>
        <v>1920</v>
      </c>
      <c r="AD68" s="2">
        <f t="shared" ref="AD68:AD102" si="46">(AC68*8)</f>
        <v>15360</v>
      </c>
      <c r="AE68" s="2">
        <f t="shared" ref="AE68:AE102" si="47">(AD68/3600)</f>
        <v>4.2666666666666666</v>
      </c>
      <c r="AF68">
        <v>960</v>
      </c>
      <c r="AG68">
        <v>960</v>
      </c>
      <c r="AH68" s="2">
        <f t="shared" ref="AH68:AH102" si="48">SUM(AF68:AG68)</f>
        <v>1920</v>
      </c>
      <c r="AI68" s="2">
        <f t="shared" ref="AI68:AI102" si="49">(AH68*8)</f>
        <v>15360</v>
      </c>
      <c r="AJ68" s="2">
        <f t="shared" ref="AJ68:AJ102" si="50">(AI68/3600)</f>
        <v>4.2666666666666666</v>
      </c>
      <c r="AK68">
        <v>1040</v>
      </c>
      <c r="AL68">
        <v>1040</v>
      </c>
      <c r="AM68" s="2">
        <f t="shared" ref="AM68:AM102" si="51">SUM(AK68:AL68)</f>
        <v>2080</v>
      </c>
      <c r="AN68" s="2">
        <f t="shared" ref="AN68:AN102" si="52">(AM68*8)</f>
        <v>16640</v>
      </c>
      <c r="AO68" s="2">
        <f t="shared" ref="AO68:AO102" si="53">(AN68/3600)</f>
        <v>4.6222222222222218</v>
      </c>
      <c r="AP68">
        <v>1120</v>
      </c>
      <c r="AQ68">
        <v>1120</v>
      </c>
      <c r="AR68" s="2">
        <f t="shared" ref="AR68:AR102" si="54">SUM(AP68:AQ68)</f>
        <v>2240</v>
      </c>
      <c r="AS68" s="2">
        <f t="shared" ref="AS68:AS102" si="55">(AR68*8)</f>
        <v>17920</v>
      </c>
      <c r="AT68" s="2">
        <f t="shared" ref="AT68:AT102" si="56">(AS68/3600)</f>
        <v>4.9777777777777779</v>
      </c>
      <c r="AU68">
        <v>1120</v>
      </c>
      <c r="AV68">
        <v>1120</v>
      </c>
      <c r="AW68" s="2">
        <f t="shared" ref="AW68:AW102" si="57">SUM(AU68:AV68)</f>
        <v>2240</v>
      </c>
      <c r="AX68" s="2">
        <f t="shared" ref="AX68:AX102" si="58">(AW68*8)</f>
        <v>17920</v>
      </c>
      <c r="AY68" s="2">
        <f t="shared" ref="AY68:AY102" si="59">(AX68/3600)</f>
        <v>4.9777777777777779</v>
      </c>
    </row>
    <row r="69" spans="1:51" x14ac:dyDescent="0.3">
      <c r="A69" s="2" t="s">
        <v>73</v>
      </c>
      <c r="B69">
        <v>1120</v>
      </c>
      <c r="C69">
        <v>1120</v>
      </c>
      <c r="D69" s="2">
        <f t="shared" si="30"/>
        <v>2240</v>
      </c>
      <c r="E69" s="2">
        <f t="shared" si="31"/>
        <v>17920</v>
      </c>
      <c r="F69" s="2">
        <f t="shared" si="32"/>
        <v>4.9777777777777779</v>
      </c>
      <c r="G69">
        <v>1200</v>
      </c>
      <c r="H69">
        <v>1200</v>
      </c>
      <c r="I69" s="2">
        <f t="shared" si="33"/>
        <v>2400</v>
      </c>
      <c r="J69" s="2">
        <f t="shared" si="34"/>
        <v>19200</v>
      </c>
      <c r="K69" s="2">
        <f t="shared" si="35"/>
        <v>5.333333333333333</v>
      </c>
      <c r="L69">
        <v>1120</v>
      </c>
      <c r="M69">
        <v>1120</v>
      </c>
      <c r="N69" s="2">
        <f t="shared" si="36"/>
        <v>2240</v>
      </c>
      <c r="O69" s="2">
        <f t="shared" si="37"/>
        <v>17920</v>
      </c>
      <c r="P69" s="2">
        <f t="shared" si="38"/>
        <v>4.9777777777777779</v>
      </c>
      <c r="Q69">
        <v>1280</v>
      </c>
      <c r="R69">
        <v>1280</v>
      </c>
      <c r="S69" s="2">
        <f t="shared" si="39"/>
        <v>2560</v>
      </c>
      <c r="T69" s="2">
        <f t="shared" si="40"/>
        <v>20480</v>
      </c>
      <c r="U69" s="2">
        <f t="shared" si="41"/>
        <v>5.6888888888888891</v>
      </c>
      <c r="V69">
        <v>960</v>
      </c>
      <c r="W69">
        <v>960</v>
      </c>
      <c r="X69" s="2">
        <f t="shared" si="42"/>
        <v>1920</v>
      </c>
      <c r="Y69" s="2">
        <f t="shared" si="43"/>
        <v>15360</v>
      </c>
      <c r="Z69" s="2">
        <f t="shared" si="44"/>
        <v>4.2666666666666666</v>
      </c>
      <c r="AA69">
        <v>1120</v>
      </c>
      <c r="AB69">
        <v>1120</v>
      </c>
      <c r="AC69" s="2">
        <f t="shared" si="45"/>
        <v>2240</v>
      </c>
      <c r="AD69" s="2">
        <f t="shared" si="46"/>
        <v>17920</v>
      </c>
      <c r="AE69" s="2">
        <f t="shared" si="47"/>
        <v>4.9777777777777779</v>
      </c>
      <c r="AF69">
        <v>1200</v>
      </c>
      <c r="AG69">
        <v>1200</v>
      </c>
      <c r="AH69" s="2">
        <f t="shared" si="48"/>
        <v>2400</v>
      </c>
      <c r="AI69" s="2">
        <f t="shared" si="49"/>
        <v>19200</v>
      </c>
      <c r="AJ69" s="2">
        <f t="shared" si="50"/>
        <v>5.333333333333333</v>
      </c>
      <c r="AK69">
        <v>1200</v>
      </c>
      <c r="AL69">
        <v>1200</v>
      </c>
      <c r="AM69" s="2">
        <f t="shared" si="51"/>
        <v>2400</v>
      </c>
      <c r="AN69" s="2">
        <f t="shared" si="52"/>
        <v>19200</v>
      </c>
      <c r="AO69" s="2">
        <f t="shared" si="53"/>
        <v>5.333333333333333</v>
      </c>
      <c r="AP69">
        <v>1360</v>
      </c>
      <c r="AQ69">
        <v>1360</v>
      </c>
      <c r="AR69" s="2">
        <f t="shared" si="54"/>
        <v>2720</v>
      </c>
      <c r="AS69" s="2">
        <f t="shared" si="55"/>
        <v>21760</v>
      </c>
      <c r="AT69" s="2">
        <f t="shared" si="56"/>
        <v>6.0444444444444443</v>
      </c>
      <c r="AU69">
        <v>1040</v>
      </c>
      <c r="AV69">
        <v>1040</v>
      </c>
      <c r="AW69" s="2">
        <f t="shared" si="57"/>
        <v>2080</v>
      </c>
      <c r="AX69" s="2">
        <f t="shared" si="58"/>
        <v>16640</v>
      </c>
      <c r="AY69" s="2">
        <f t="shared" si="59"/>
        <v>4.6222222222222218</v>
      </c>
    </row>
    <row r="70" spans="1:51" x14ac:dyDescent="0.3">
      <c r="A70" s="2" t="s">
        <v>74</v>
      </c>
      <c r="B70">
        <v>1200</v>
      </c>
      <c r="C70">
        <v>1200</v>
      </c>
      <c r="D70" s="2">
        <f t="shared" si="30"/>
        <v>2400</v>
      </c>
      <c r="E70" s="2">
        <f t="shared" si="31"/>
        <v>19200</v>
      </c>
      <c r="F70" s="2">
        <f t="shared" si="32"/>
        <v>5.333333333333333</v>
      </c>
      <c r="G70">
        <v>1120</v>
      </c>
      <c r="H70">
        <v>1120</v>
      </c>
      <c r="I70" s="2">
        <f t="shared" si="33"/>
        <v>2240</v>
      </c>
      <c r="J70" s="2">
        <f t="shared" si="34"/>
        <v>17920</v>
      </c>
      <c r="K70" s="2">
        <f t="shared" si="35"/>
        <v>4.9777777777777779</v>
      </c>
      <c r="L70">
        <v>1040</v>
      </c>
      <c r="M70">
        <v>1040</v>
      </c>
      <c r="N70" s="2">
        <f t="shared" si="36"/>
        <v>2080</v>
      </c>
      <c r="O70" s="2">
        <f t="shared" si="37"/>
        <v>16640</v>
      </c>
      <c r="P70" s="2">
        <f t="shared" si="38"/>
        <v>4.6222222222222218</v>
      </c>
      <c r="Q70">
        <v>1200</v>
      </c>
      <c r="R70">
        <v>1200</v>
      </c>
      <c r="S70" s="2">
        <f t="shared" si="39"/>
        <v>2400</v>
      </c>
      <c r="T70" s="2">
        <f t="shared" si="40"/>
        <v>19200</v>
      </c>
      <c r="U70" s="2">
        <f t="shared" si="41"/>
        <v>5.333333333333333</v>
      </c>
      <c r="V70">
        <v>1280</v>
      </c>
      <c r="W70">
        <v>1280</v>
      </c>
      <c r="X70" s="2">
        <f t="shared" si="42"/>
        <v>2560</v>
      </c>
      <c r="Y70" s="2">
        <f t="shared" si="43"/>
        <v>20480</v>
      </c>
      <c r="Z70" s="2">
        <f t="shared" si="44"/>
        <v>5.6888888888888891</v>
      </c>
      <c r="AA70">
        <v>800</v>
      </c>
      <c r="AB70">
        <v>800</v>
      </c>
      <c r="AC70" s="2">
        <f t="shared" si="45"/>
        <v>1600</v>
      </c>
      <c r="AD70" s="2">
        <f t="shared" si="46"/>
        <v>12800</v>
      </c>
      <c r="AE70" s="2">
        <f t="shared" si="47"/>
        <v>3.5555555555555554</v>
      </c>
      <c r="AF70">
        <v>1040</v>
      </c>
      <c r="AG70">
        <v>1040</v>
      </c>
      <c r="AH70" s="2">
        <f t="shared" si="48"/>
        <v>2080</v>
      </c>
      <c r="AI70" s="2">
        <f t="shared" si="49"/>
        <v>16640</v>
      </c>
      <c r="AJ70" s="2">
        <f t="shared" si="50"/>
        <v>4.6222222222222218</v>
      </c>
      <c r="AK70">
        <v>1120</v>
      </c>
      <c r="AL70">
        <v>1120</v>
      </c>
      <c r="AM70" s="2">
        <f t="shared" si="51"/>
        <v>2240</v>
      </c>
      <c r="AN70" s="2">
        <f t="shared" si="52"/>
        <v>17920</v>
      </c>
      <c r="AO70" s="2">
        <f t="shared" si="53"/>
        <v>4.9777777777777779</v>
      </c>
      <c r="AP70">
        <v>1040</v>
      </c>
      <c r="AQ70">
        <v>1040</v>
      </c>
      <c r="AR70" s="2">
        <f t="shared" si="54"/>
        <v>2080</v>
      </c>
      <c r="AS70" s="2">
        <f t="shared" si="55"/>
        <v>16640</v>
      </c>
      <c r="AT70" s="2">
        <f t="shared" si="56"/>
        <v>4.6222222222222218</v>
      </c>
      <c r="AU70">
        <v>1120</v>
      </c>
      <c r="AV70">
        <v>1120</v>
      </c>
      <c r="AW70" s="2">
        <f t="shared" si="57"/>
        <v>2240</v>
      </c>
      <c r="AX70" s="2">
        <f t="shared" si="58"/>
        <v>17920</v>
      </c>
      <c r="AY70" s="2">
        <f t="shared" si="59"/>
        <v>4.9777777777777779</v>
      </c>
    </row>
    <row r="71" spans="1:51" x14ac:dyDescent="0.3">
      <c r="A71" s="2" t="s">
        <v>75</v>
      </c>
      <c r="B71">
        <v>960</v>
      </c>
      <c r="C71">
        <v>960</v>
      </c>
      <c r="D71" s="2">
        <f t="shared" si="30"/>
        <v>1920</v>
      </c>
      <c r="E71" s="2">
        <f t="shared" si="31"/>
        <v>15360</v>
      </c>
      <c r="F71" s="2">
        <f t="shared" si="32"/>
        <v>4.2666666666666666</v>
      </c>
      <c r="G71">
        <v>880</v>
      </c>
      <c r="H71">
        <v>880</v>
      </c>
      <c r="I71" s="2">
        <f t="shared" si="33"/>
        <v>1760</v>
      </c>
      <c r="J71" s="2">
        <f t="shared" si="34"/>
        <v>14080</v>
      </c>
      <c r="K71" s="2">
        <f t="shared" si="35"/>
        <v>3.911111111111111</v>
      </c>
      <c r="L71">
        <v>1040</v>
      </c>
      <c r="M71">
        <v>1040</v>
      </c>
      <c r="N71" s="2">
        <f t="shared" si="36"/>
        <v>2080</v>
      </c>
      <c r="O71" s="2">
        <f t="shared" si="37"/>
        <v>16640</v>
      </c>
      <c r="P71" s="2">
        <f t="shared" si="38"/>
        <v>4.6222222222222218</v>
      </c>
      <c r="Q71">
        <v>1120</v>
      </c>
      <c r="R71">
        <v>1120</v>
      </c>
      <c r="S71" s="2">
        <f t="shared" si="39"/>
        <v>2240</v>
      </c>
      <c r="T71" s="2">
        <f t="shared" si="40"/>
        <v>17920</v>
      </c>
      <c r="U71" s="2">
        <f t="shared" si="41"/>
        <v>4.9777777777777779</v>
      </c>
      <c r="V71">
        <v>1040</v>
      </c>
      <c r="W71">
        <v>1040</v>
      </c>
      <c r="X71" s="2">
        <f t="shared" si="42"/>
        <v>2080</v>
      </c>
      <c r="Y71" s="2">
        <f t="shared" si="43"/>
        <v>16640</v>
      </c>
      <c r="Z71" s="2">
        <f t="shared" si="44"/>
        <v>4.6222222222222218</v>
      </c>
      <c r="AA71">
        <v>1120</v>
      </c>
      <c r="AB71">
        <v>1120</v>
      </c>
      <c r="AC71" s="2">
        <f t="shared" si="45"/>
        <v>2240</v>
      </c>
      <c r="AD71" s="2">
        <f t="shared" si="46"/>
        <v>17920</v>
      </c>
      <c r="AE71" s="2">
        <f t="shared" si="47"/>
        <v>4.9777777777777779</v>
      </c>
      <c r="AF71">
        <v>1200</v>
      </c>
      <c r="AG71">
        <v>1200</v>
      </c>
      <c r="AH71" s="2">
        <f t="shared" si="48"/>
        <v>2400</v>
      </c>
      <c r="AI71" s="2">
        <f t="shared" si="49"/>
        <v>19200</v>
      </c>
      <c r="AJ71" s="2">
        <f t="shared" si="50"/>
        <v>5.333333333333333</v>
      </c>
      <c r="AK71">
        <v>1440</v>
      </c>
      <c r="AL71">
        <v>1440</v>
      </c>
      <c r="AM71" s="2">
        <f t="shared" si="51"/>
        <v>2880</v>
      </c>
      <c r="AN71" s="2">
        <f t="shared" si="52"/>
        <v>23040</v>
      </c>
      <c r="AO71" s="2">
        <f t="shared" si="53"/>
        <v>6.4</v>
      </c>
      <c r="AP71">
        <v>960</v>
      </c>
      <c r="AQ71">
        <v>960</v>
      </c>
      <c r="AR71" s="2">
        <f t="shared" si="54"/>
        <v>1920</v>
      </c>
      <c r="AS71" s="2">
        <f t="shared" si="55"/>
        <v>15360</v>
      </c>
      <c r="AT71" s="2">
        <f t="shared" si="56"/>
        <v>4.2666666666666666</v>
      </c>
      <c r="AU71">
        <v>1120</v>
      </c>
      <c r="AV71">
        <v>1120</v>
      </c>
      <c r="AW71" s="2">
        <f t="shared" si="57"/>
        <v>2240</v>
      </c>
      <c r="AX71" s="2">
        <f t="shared" si="58"/>
        <v>17920</v>
      </c>
      <c r="AY71" s="2">
        <f t="shared" si="59"/>
        <v>4.9777777777777779</v>
      </c>
    </row>
    <row r="72" spans="1:51" x14ac:dyDescent="0.3">
      <c r="A72" s="2" t="s">
        <v>76</v>
      </c>
      <c r="B72">
        <v>1200</v>
      </c>
      <c r="C72">
        <v>1200</v>
      </c>
      <c r="D72" s="2">
        <f t="shared" si="30"/>
        <v>2400</v>
      </c>
      <c r="E72" s="2">
        <f t="shared" si="31"/>
        <v>19200</v>
      </c>
      <c r="F72" s="2">
        <f t="shared" si="32"/>
        <v>5.333333333333333</v>
      </c>
      <c r="G72">
        <v>1040</v>
      </c>
      <c r="H72">
        <v>1040</v>
      </c>
      <c r="I72" s="2">
        <f t="shared" si="33"/>
        <v>2080</v>
      </c>
      <c r="J72" s="2">
        <f t="shared" si="34"/>
        <v>16640</v>
      </c>
      <c r="K72" s="2">
        <f t="shared" si="35"/>
        <v>4.6222222222222218</v>
      </c>
      <c r="L72">
        <v>1200</v>
      </c>
      <c r="M72">
        <v>1200</v>
      </c>
      <c r="N72" s="2">
        <f t="shared" si="36"/>
        <v>2400</v>
      </c>
      <c r="O72" s="2">
        <f t="shared" si="37"/>
        <v>19200</v>
      </c>
      <c r="P72" s="2">
        <f t="shared" si="38"/>
        <v>5.333333333333333</v>
      </c>
      <c r="Q72">
        <v>1360</v>
      </c>
      <c r="R72">
        <v>1360</v>
      </c>
      <c r="S72" s="2">
        <f t="shared" si="39"/>
        <v>2720</v>
      </c>
      <c r="T72" s="2">
        <f t="shared" si="40"/>
        <v>21760</v>
      </c>
      <c r="U72" s="2">
        <f t="shared" si="41"/>
        <v>6.0444444444444443</v>
      </c>
      <c r="V72">
        <v>1200</v>
      </c>
      <c r="W72">
        <v>1200</v>
      </c>
      <c r="X72" s="2">
        <f t="shared" si="42"/>
        <v>2400</v>
      </c>
      <c r="Y72" s="2">
        <f t="shared" si="43"/>
        <v>19200</v>
      </c>
      <c r="Z72" s="2">
        <f t="shared" si="44"/>
        <v>5.333333333333333</v>
      </c>
      <c r="AA72">
        <v>1120</v>
      </c>
      <c r="AB72">
        <v>1120</v>
      </c>
      <c r="AC72" s="2">
        <f t="shared" si="45"/>
        <v>2240</v>
      </c>
      <c r="AD72" s="2">
        <f t="shared" si="46"/>
        <v>17920</v>
      </c>
      <c r="AE72" s="2">
        <f t="shared" si="47"/>
        <v>4.9777777777777779</v>
      </c>
      <c r="AF72">
        <v>1280</v>
      </c>
      <c r="AG72">
        <v>1280</v>
      </c>
      <c r="AH72" s="2">
        <f t="shared" si="48"/>
        <v>2560</v>
      </c>
      <c r="AI72" s="2">
        <f t="shared" si="49"/>
        <v>20480</v>
      </c>
      <c r="AJ72" s="2">
        <f t="shared" si="50"/>
        <v>5.6888888888888891</v>
      </c>
      <c r="AK72">
        <v>1200</v>
      </c>
      <c r="AL72">
        <v>1200</v>
      </c>
      <c r="AM72" s="2">
        <f t="shared" si="51"/>
        <v>2400</v>
      </c>
      <c r="AN72" s="2">
        <f t="shared" si="52"/>
        <v>19200</v>
      </c>
      <c r="AO72" s="2">
        <f t="shared" si="53"/>
        <v>5.333333333333333</v>
      </c>
      <c r="AP72">
        <v>1040</v>
      </c>
      <c r="AQ72">
        <v>1040</v>
      </c>
      <c r="AR72" s="2">
        <f t="shared" si="54"/>
        <v>2080</v>
      </c>
      <c r="AS72" s="2">
        <f t="shared" si="55"/>
        <v>16640</v>
      </c>
      <c r="AT72" s="2">
        <f t="shared" si="56"/>
        <v>4.6222222222222218</v>
      </c>
      <c r="AU72">
        <v>1280</v>
      </c>
      <c r="AV72">
        <v>1280</v>
      </c>
      <c r="AW72" s="2">
        <f t="shared" si="57"/>
        <v>2560</v>
      </c>
      <c r="AX72" s="2">
        <f t="shared" si="58"/>
        <v>20480</v>
      </c>
      <c r="AY72" s="2">
        <f t="shared" si="59"/>
        <v>5.6888888888888891</v>
      </c>
    </row>
    <row r="73" spans="1:51" x14ac:dyDescent="0.3">
      <c r="A73" s="2" t="s">
        <v>77</v>
      </c>
      <c r="B73">
        <v>1120</v>
      </c>
      <c r="C73">
        <v>1120</v>
      </c>
      <c r="D73" s="2">
        <f t="shared" si="30"/>
        <v>2240</v>
      </c>
      <c r="E73" s="2">
        <f t="shared" si="31"/>
        <v>17920</v>
      </c>
      <c r="F73" s="2">
        <f t="shared" si="32"/>
        <v>4.9777777777777779</v>
      </c>
      <c r="G73">
        <v>960</v>
      </c>
      <c r="H73">
        <v>960</v>
      </c>
      <c r="I73" s="2">
        <f t="shared" si="33"/>
        <v>1920</v>
      </c>
      <c r="J73" s="2">
        <f t="shared" si="34"/>
        <v>15360</v>
      </c>
      <c r="K73" s="2">
        <f t="shared" si="35"/>
        <v>4.2666666666666666</v>
      </c>
      <c r="L73">
        <v>960</v>
      </c>
      <c r="M73">
        <v>960</v>
      </c>
      <c r="N73" s="2">
        <f t="shared" si="36"/>
        <v>1920</v>
      </c>
      <c r="O73" s="2">
        <f t="shared" si="37"/>
        <v>15360</v>
      </c>
      <c r="P73" s="2">
        <f t="shared" si="38"/>
        <v>4.2666666666666666</v>
      </c>
      <c r="Q73">
        <v>800</v>
      </c>
      <c r="R73">
        <v>800</v>
      </c>
      <c r="S73" s="2">
        <f t="shared" si="39"/>
        <v>1600</v>
      </c>
      <c r="T73" s="2">
        <f t="shared" si="40"/>
        <v>12800</v>
      </c>
      <c r="U73" s="2">
        <f t="shared" si="41"/>
        <v>3.5555555555555554</v>
      </c>
      <c r="V73">
        <v>1040</v>
      </c>
      <c r="W73">
        <v>1040</v>
      </c>
      <c r="X73" s="2">
        <f t="shared" si="42"/>
        <v>2080</v>
      </c>
      <c r="Y73" s="2">
        <f t="shared" si="43"/>
        <v>16640</v>
      </c>
      <c r="Z73" s="2">
        <f t="shared" si="44"/>
        <v>4.6222222222222218</v>
      </c>
      <c r="AA73">
        <v>880</v>
      </c>
      <c r="AB73">
        <v>880</v>
      </c>
      <c r="AC73" s="2">
        <f t="shared" si="45"/>
        <v>1760</v>
      </c>
      <c r="AD73" s="2">
        <f t="shared" si="46"/>
        <v>14080</v>
      </c>
      <c r="AE73" s="2">
        <f t="shared" si="47"/>
        <v>3.911111111111111</v>
      </c>
      <c r="AF73">
        <v>1040</v>
      </c>
      <c r="AG73">
        <v>1040</v>
      </c>
      <c r="AH73" s="2">
        <f t="shared" si="48"/>
        <v>2080</v>
      </c>
      <c r="AI73" s="2">
        <f t="shared" si="49"/>
        <v>16640</v>
      </c>
      <c r="AJ73" s="2">
        <f t="shared" si="50"/>
        <v>4.6222222222222218</v>
      </c>
      <c r="AK73">
        <v>1120</v>
      </c>
      <c r="AL73">
        <v>1120</v>
      </c>
      <c r="AM73" s="2">
        <f t="shared" si="51"/>
        <v>2240</v>
      </c>
      <c r="AN73" s="2">
        <f t="shared" si="52"/>
        <v>17920</v>
      </c>
      <c r="AO73" s="2">
        <f t="shared" si="53"/>
        <v>4.9777777777777779</v>
      </c>
      <c r="AP73">
        <v>880</v>
      </c>
      <c r="AQ73">
        <v>880</v>
      </c>
      <c r="AR73" s="2">
        <f t="shared" si="54"/>
        <v>1760</v>
      </c>
      <c r="AS73" s="2">
        <f t="shared" si="55"/>
        <v>14080</v>
      </c>
      <c r="AT73" s="2">
        <f t="shared" si="56"/>
        <v>3.911111111111111</v>
      </c>
      <c r="AU73">
        <v>800</v>
      </c>
      <c r="AV73">
        <v>800</v>
      </c>
      <c r="AW73" s="2">
        <f t="shared" si="57"/>
        <v>1600</v>
      </c>
      <c r="AX73" s="2">
        <f t="shared" si="58"/>
        <v>12800</v>
      </c>
      <c r="AY73" s="2">
        <f t="shared" si="59"/>
        <v>3.5555555555555554</v>
      </c>
    </row>
    <row r="74" spans="1:51" x14ac:dyDescent="0.3">
      <c r="A74" s="2" t="s">
        <v>78</v>
      </c>
      <c r="B74">
        <v>960</v>
      </c>
      <c r="C74">
        <v>960</v>
      </c>
      <c r="D74" s="2">
        <f t="shared" si="30"/>
        <v>1920</v>
      </c>
      <c r="E74" s="2">
        <f t="shared" si="31"/>
        <v>15360</v>
      </c>
      <c r="F74" s="2">
        <f t="shared" si="32"/>
        <v>4.2666666666666666</v>
      </c>
      <c r="G74">
        <v>960</v>
      </c>
      <c r="H74">
        <v>960</v>
      </c>
      <c r="I74" s="2">
        <f t="shared" si="33"/>
        <v>1920</v>
      </c>
      <c r="J74" s="2">
        <f t="shared" si="34"/>
        <v>15360</v>
      </c>
      <c r="K74" s="2">
        <f t="shared" si="35"/>
        <v>4.2666666666666666</v>
      </c>
      <c r="L74">
        <v>1040</v>
      </c>
      <c r="M74">
        <v>1040</v>
      </c>
      <c r="N74" s="2">
        <f t="shared" si="36"/>
        <v>2080</v>
      </c>
      <c r="O74" s="2">
        <f t="shared" si="37"/>
        <v>16640</v>
      </c>
      <c r="P74" s="2">
        <f t="shared" si="38"/>
        <v>4.6222222222222218</v>
      </c>
      <c r="Q74">
        <v>1040</v>
      </c>
      <c r="R74">
        <v>1040</v>
      </c>
      <c r="S74" s="2">
        <f t="shared" si="39"/>
        <v>2080</v>
      </c>
      <c r="T74" s="2">
        <f t="shared" si="40"/>
        <v>16640</v>
      </c>
      <c r="U74" s="2">
        <f t="shared" si="41"/>
        <v>4.6222222222222218</v>
      </c>
      <c r="V74">
        <v>1040</v>
      </c>
      <c r="W74">
        <v>1040</v>
      </c>
      <c r="X74" s="2">
        <f t="shared" si="42"/>
        <v>2080</v>
      </c>
      <c r="Y74" s="2">
        <f t="shared" si="43"/>
        <v>16640</v>
      </c>
      <c r="Z74" s="2">
        <f t="shared" si="44"/>
        <v>4.6222222222222218</v>
      </c>
      <c r="AA74">
        <v>1120</v>
      </c>
      <c r="AB74">
        <v>1120</v>
      </c>
      <c r="AC74" s="2">
        <f t="shared" si="45"/>
        <v>2240</v>
      </c>
      <c r="AD74" s="2">
        <f t="shared" si="46"/>
        <v>17920</v>
      </c>
      <c r="AE74" s="2">
        <f t="shared" si="47"/>
        <v>4.9777777777777779</v>
      </c>
      <c r="AF74">
        <v>1040</v>
      </c>
      <c r="AG74">
        <v>1040</v>
      </c>
      <c r="AH74" s="2">
        <f t="shared" si="48"/>
        <v>2080</v>
      </c>
      <c r="AI74" s="2">
        <f t="shared" si="49"/>
        <v>16640</v>
      </c>
      <c r="AJ74" s="2">
        <f t="shared" si="50"/>
        <v>4.6222222222222218</v>
      </c>
      <c r="AK74">
        <v>960</v>
      </c>
      <c r="AL74">
        <v>960</v>
      </c>
      <c r="AM74" s="2">
        <f t="shared" si="51"/>
        <v>1920</v>
      </c>
      <c r="AN74" s="2">
        <f t="shared" si="52"/>
        <v>15360</v>
      </c>
      <c r="AO74" s="2">
        <f t="shared" si="53"/>
        <v>4.2666666666666666</v>
      </c>
      <c r="AP74">
        <v>1040</v>
      </c>
      <c r="AQ74">
        <v>1040</v>
      </c>
      <c r="AR74" s="2">
        <f t="shared" si="54"/>
        <v>2080</v>
      </c>
      <c r="AS74" s="2">
        <f t="shared" si="55"/>
        <v>16640</v>
      </c>
      <c r="AT74" s="2">
        <f t="shared" si="56"/>
        <v>4.6222222222222218</v>
      </c>
      <c r="AU74">
        <v>1120</v>
      </c>
      <c r="AV74">
        <v>1120</v>
      </c>
      <c r="AW74" s="2">
        <f t="shared" si="57"/>
        <v>2240</v>
      </c>
      <c r="AX74" s="2">
        <f t="shared" si="58"/>
        <v>17920</v>
      </c>
      <c r="AY74" s="2">
        <f t="shared" si="59"/>
        <v>4.9777777777777779</v>
      </c>
    </row>
    <row r="75" spans="1:51" x14ac:dyDescent="0.3">
      <c r="A75" s="2" t="s">
        <v>79</v>
      </c>
      <c r="B75">
        <v>1200</v>
      </c>
      <c r="C75">
        <v>1200</v>
      </c>
      <c r="D75" s="2">
        <f t="shared" si="30"/>
        <v>2400</v>
      </c>
      <c r="E75" s="2">
        <f t="shared" si="31"/>
        <v>19200</v>
      </c>
      <c r="F75" s="2">
        <f t="shared" si="32"/>
        <v>5.333333333333333</v>
      </c>
      <c r="G75">
        <v>1120</v>
      </c>
      <c r="H75">
        <v>1120</v>
      </c>
      <c r="I75" s="2">
        <f t="shared" si="33"/>
        <v>2240</v>
      </c>
      <c r="J75" s="2">
        <f t="shared" si="34"/>
        <v>17920</v>
      </c>
      <c r="K75" s="2">
        <f t="shared" si="35"/>
        <v>4.9777777777777779</v>
      </c>
      <c r="L75">
        <v>960</v>
      </c>
      <c r="M75">
        <v>960</v>
      </c>
      <c r="N75" s="2">
        <f t="shared" si="36"/>
        <v>1920</v>
      </c>
      <c r="O75" s="2">
        <f t="shared" si="37"/>
        <v>15360</v>
      </c>
      <c r="P75" s="2">
        <f t="shared" si="38"/>
        <v>4.2666666666666666</v>
      </c>
      <c r="Q75">
        <v>880</v>
      </c>
      <c r="R75">
        <v>880</v>
      </c>
      <c r="S75" s="2">
        <f t="shared" si="39"/>
        <v>1760</v>
      </c>
      <c r="T75" s="2">
        <f t="shared" si="40"/>
        <v>14080</v>
      </c>
      <c r="U75" s="2">
        <f t="shared" si="41"/>
        <v>3.911111111111111</v>
      </c>
      <c r="V75">
        <v>1200</v>
      </c>
      <c r="W75">
        <v>1200</v>
      </c>
      <c r="X75" s="2">
        <f t="shared" si="42"/>
        <v>2400</v>
      </c>
      <c r="Y75" s="2">
        <f t="shared" si="43"/>
        <v>19200</v>
      </c>
      <c r="Z75" s="2">
        <f t="shared" si="44"/>
        <v>5.333333333333333</v>
      </c>
      <c r="AA75">
        <v>1200</v>
      </c>
      <c r="AB75">
        <v>1200</v>
      </c>
      <c r="AC75" s="2">
        <f t="shared" si="45"/>
        <v>2400</v>
      </c>
      <c r="AD75" s="2">
        <f t="shared" si="46"/>
        <v>19200</v>
      </c>
      <c r="AE75" s="2">
        <f t="shared" si="47"/>
        <v>5.333333333333333</v>
      </c>
      <c r="AF75">
        <v>1120</v>
      </c>
      <c r="AG75">
        <v>1120</v>
      </c>
      <c r="AH75" s="2">
        <f t="shared" si="48"/>
        <v>2240</v>
      </c>
      <c r="AI75" s="2">
        <f t="shared" si="49"/>
        <v>17920</v>
      </c>
      <c r="AJ75" s="2">
        <f t="shared" si="50"/>
        <v>4.9777777777777779</v>
      </c>
      <c r="AK75">
        <v>960</v>
      </c>
      <c r="AL75">
        <v>960</v>
      </c>
      <c r="AM75" s="2">
        <f t="shared" si="51"/>
        <v>1920</v>
      </c>
      <c r="AN75" s="2">
        <f t="shared" si="52"/>
        <v>15360</v>
      </c>
      <c r="AO75" s="2">
        <f t="shared" si="53"/>
        <v>4.2666666666666666</v>
      </c>
      <c r="AP75">
        <v>1280</v>
      </c>
      <c r="AQ75">
        <v>1280</v>
      </c>
      <c r="AR75" s="2">
        <f t="shared" si="54"/>
        <v>2560</v>
      </c>
      <c r="AS75" s="2">
        <f t="shared" si="55"/>
        <v>20480</v>
      </c>
      <c r="AT75" s="2">
        <f t="shared" si="56"/>
        <v>5.6888888888888891</v>
      </c>
      <c r="AU75">
        <v>1040</v>
      </c>
      <c r="AV75">
        <v>1040</v>
      </c>
      <c r="AW75" s="2">
        <f t="shared" si="57"/>
        <v>2080</v>
      </c>
      <c r="AX75" s="2">
        <f t="shared" si="58"/>
        <v>16640</v>
      </c>
      <c r="AY75" s="2">
        <f t="shared" si="59"/>
        <v>4.6222222222222218</v>
      </c>
    </row>
    <row r="76" spans="1:51" x14ac:dyDescent="0.3">
      <c r="A76" s="2" t="s">
        <v>80</v>
      </c>
      <c r="B76">
        <v>1040</v>
      </c>
      <c r="C76">
        <v>1040</v>
      </c>
      <c r="D76" s="2">
        <f t="shared" si="30"/>
        <v>2080</v>
      </c>
      <c r="E76" s="2">
        <f t="shared" si="31"/>
        <v>16640</v>
      </c>
      <c r="F76" s="2">
        <f t="shared" si="32"/>
        <v>4.6222222222222218</v>
      </c>
      <c r="G76">
        <v>1040</v>
      </c>
      <c r="H76">
        <v>1040</v>
      </c>
      <c r="I76" s="2">
        <f t="shared" si="33"/>
        <v>2080</v>
      </c>
      <c r="J76" s="2">
        <f t="shared" si="34"/>
        <v>16640</v>
      </c>
      <c r="K76" s="2">
        <f t="shared" si="35"/>
        <v>4.6222222222222218</v>
      </c>
      <c r="L76">
        <v>1280</v>
      </c>
      <c r="M76">
        <v>1280</v>
      </c>
      <c r="N76" s="2">
        <f t="shared" si="36"/>
        <v>2560</v>
      </c>
      <c r="O76" s="2">
        <f t="shared" si="37"/>
        <v>20480</v>
      </c>
      <c r="P76" s="2">
        <f t="shared" si="38"/>
        <v>5.6888888888888891</v>
      </c>
      <c r="Q76">
        <v>960</v>
      </c>
      <c r="R76">
        <v>960</v>
      </c>
      <c r="S76" s="2">
        <f t="shared" si="39"/>
        <v>1920</v>
      </c>
      <c r="T76" s="2">
        <f t="shared" si="40"/>
        <v>15360</v>
      </c>
      <c r="U76" s="2">
        <f t="shared" si="41"/>
        <v>4.2666666666666666</v>
      </c>
      <c r="V76">
        <v>880</v>
      </c>
      <c r="W76">
        <v>880</v>
      </c>
      <c r="X76" s="2">
        <f t="shared" si="42"/>
        <v>1760</v>
      </c>
      <c r="Y76" s="2">
        <f t="shared" si="43"/>
        <v>14080</v>
      </c>
      <c r="Z76" s="2">
        <f t="shared" si="44"/>
        <v>3.911111111111111</v>
      </c>
      <c r="AA76">
        <v>1040</v>
      </c>
      <c r="AB76">
        <v>1040</v>
      </c>
      <c r="AC76" s="2">
        <f t="shared" si="45"/>
        <v>2080</v>
      </c>
      <c r="AD76" s="2">
        <f t="shared" si="46"/>
        <v>16640</v>
      </c>
      <c r="AE76" s="2">
        <f t="shared" si="47"/>
        <v>4.6222222222222218</v>
      </c>
      <c r="AF76">
        <v>1040</v>
      </c>
      <c r="AG76">
        <v>1040</v>
      </c>
      <c r="AH76" s="2">
        <f t="shared" si="48"/>
        <v>2080</v>
      </c>
      <c r="AI76" s="2">
        <f t="shared" si="49"/>
        <v>16640</v>
      </c>
      <c r="AJ76" s="2">
        <f t="shared" si="50"/>
        <v>4.6222222222222218</v>
      </c>
      <c r="AK76">
        <v>960</v>
      </c>
      <c r="AL76">
        <v>960</v>
      </c>
      <c r="AM76" s="2">
        <f t="shared" si="51"/>
        <v>1920</v>
      </c>
      <c r="AN76" s="2">
        <f t="shared" si="52"/>
        <v>15360</v>
      </c>
      <c r="AO76" s="2">
        <f t="shared" si="53"/>
        <v>4.2666666666666666</v>
      </c>
      <c r="AP76">
        <v>1120</v>
      </c>
      <c r="AQ76">
        <v>1120</v>
      </c>
      <c r="AR76" s="2">
        <f t="shared" si="54"/>
        <v>2240</v>
      </c>
      <c r="AS76" s="2">
        <f t="shared" si="55"/>
        <v>17920</v>
      </c>
      <c r="AT76" s="2">
        <f t="shared" si="56"/>
        <v>4.9777777777777779</v>
      </c>
      <c r="AU76">
        <v>960</v>
      </c>
      <c r="AV76">
        <v>960</v>
      </c>
      <c r="AW76" s="2">
        <f t="shared" si="57"/>
        <v>1920</v>
      </c>
      <c r="AX76" s="2">
        <f t="shared" si="58"/>
        <v>15360</v>
      </c>
      <c r="AY76" s="2">
        <f t="shared" si="59"/>
        <v>4.2666666666666666</v>
      </c>
    </row>
    <row r="77" spans="1:51" x14ac:dyDescent="0.3">
      <c r="A77" s="2" t="s">
        <v>81</v>
      </c>
      <c r="B77">
        <v>1040</v>
      </c>
      <c r="C77">
        <v>1040</v>
      </c>
      <c r="D77" s="2">
        <f t="shared" si="30"/>
        <v>2080</v>
      </c>
      <c r="E77" s="2">
        <f t="shared" si="31"/>
        <v>16640</v>
      </c>
      <c r="F77" s="2">
        <f t="shared" si="32"/>
        <v>4.6222222222222218</v>
      </c>
      <c r="G77">
        <v>1040</v>
      </c>
      <c r="H77">
        <v>1040</v>
      </c>
      <c r="I77" s="2">
        <f t="shared" si="33"/>
        <v>2080</v>
      </c>
      <c r="J77" s="2">
        <f t="shared" si="34"/>
        <v>16640</v>
      </c>
      <c r="K77" s="2">
        <f t="shared" si="35"/>
        <v>4.6222222222222218</v>
      </c>
      <c r="L77">
        <v>880</v>
      </c>
      <c r="M77">
        <v>880</v>
      </c>
      <c r="N77" s="2">
        <f t="shared" si="36"/>
        <v>1760</v>
      </c>
      <c r="O77" s="2">
        <f t="shared" si="37"/>
        <v>14080</v>
      </c>
      <c r="P77" s="2">
        <f t="shared" si="38"/>
        <v>3.911111111111111</v>
      </c>
      <c r="Q77">
        <v>1120</v>
      </c>
      <c r="R77">
        <v>1120</v>
      </c>
      <c r="S77" s="2">
        <f t="shared" si="39"/>
        <v>2240</v>
      </c>
      <c r="T77" s="2">
        <f t="shared" si="40"/>
        <v>17920</v>
      </c>
      <c r="U77" s="2">
        <f t="shared" si="41"/>
        <v>4.9777777777777779</v>
      </c>
      <c r="V77">
        <v>880</v>
      </c>
      <c r="W77">
        <v>880</v>
      </c>
      <c r="X77" s="2">
        <f t="shared" si="42"/>
        <v>1760</v>
      </c>
      <c r="Y77" s="2">
        <f t="shared" si="43"/>
        <v>14080</v>
      </c>
      <c r="Z77" s="2">
        <f t="shared" si="44"/>
        <v>3.911111111111111</v>
      </c>
      <c r="AA77">
        <v>960</v>
      </c>
      <c r="AB77">
        <v>960</v>
      </c>
      <c r="AC77" s="2">
        <f t="shared" si="45"/>
        <v>1920</v>
      </c>
      <c r="AD77" s="2">
        <f t="shared" si="46"/>
        <v>15360</v>
      </c>
      <c r="AE77" s="2">
        <f t="shared" si="47"/>
        <v>4.2666666666666666</v>
      </c>
      <c r="AF77">
        <v>960</v>
      </c>
      <c r="AG77">
        <v>960</v>
      </c>
      <c r="AH77" s="2">
        <f t="shared" si="48"/>
        <v>1920</v>
      </c>
      <c r="AI77" s="2">
        <f t="shared" si="49"/>
        <v>15360</v>
      </c>
      <c r="AJ77" s="2">
        <f t="shared" si="50"/>
        <v>4.2666666666666666</v>
      </c>
      <c r="AK77">
        <v>1200</v>
      </c>
      <c r="AL77">
        <v>1200</v>
      </c>
      <c r="AM77" s="2">
        <f t="shared" si="51"/>
        <v>2400</v>
      </c>
      <c r="AN77" s="2">
        <f t="shared" si="52"/>
        <v>19200</v>
      </c>
      <c r="AO77" s="2">
        <f t="shared" si="53"/>
        <v>5.333333333333333</v>
      </c>
      <c r="AP77">
        <v>960</v>
      </c>
      <c r="AQ77">
        <v>960</v>
      </c>
      <c r="AR77" s="2">
        <f t="shared" si="54"/>
        <v>1920</v>
      </c>
      <c r="AS77" s="2">
        <f t="shared" si="55"/>
        <v>15360</v>
      </c>
      <c r="AT77" s="2">
        <f t="shared" si="56"/>
        <v>4.2666666666666666</v>
      </c>
      <c r="AU77">
        <v>1200</v>
      </c>
      <c r="AV77">
        <v>1200</v>
      </c>
      <c r="AW77" s="2">
        <f t="shared" si="57"/>
        <v>2400</v>
      </c>
      <c r="AX77" s="2">
        <f t="shared" si="58"/>
        <v>19200</v>
      </c>
      <c r="AY77" s="2">
        <f t="shared" si="59"/>
        <v>5.333333333333333</v>
      </c>
    </row>
    <row r="78" spans="1:51" x14ac:dyDescent="0.3">
      <c r="A78" s="2" t="s">
        <v>82</v>
      </c>
      <c r="B78">
        <v>1200</v>
      </c>
      <c r="C78">
        <v>1200</v>
      </c>
      <c r="D78" s="2">
        <f t="shared" si="30"/>
        <v>2400</v>
      </c>
      <c r="E78" s="2">
        <f t="shared" si="31"/>
        <v>19200</v>
      </c>
      <c r="F78" s="2">
        <f t="shared" si="32"/>
        <v>5.333333333333333</v>
      </c>
      <c r="G78">
        <v>1200</v>
      </c>
      <c r="H78">
        <v>1200</v>
      </c>
      <c r="I78" s="2">
        <f t="shared" si="33"/>
        <v>2400</v>
      </c>
      <c r="J78" s="2">
        <f t="shared" si="34"/>
        <v>19200</v>
      </c>
      <c r="K78" s="2">
        <f t="shared" si="35"/>
        <v>5.333333333333333</v>
      </c>
      <c r="L78">
        <v>1040</v>
      </c>
      <c r="M78">
        <v>1040</v>
      </c>
      <c r="N78" s="2">
        <f t="shared" si="36"/>
        <v>2080</v>
      </c>
      <c r="O78" s="2">
        <f t="shared" si="37"/>
        <v>16640</v>
      </c>
      <c r="P78" s="2">
        <f t="shared" si="38"/>
        <v>4.6222222222222218</v>
      </c>
      <c r="Q78">
        <v>1040</v>
      </c>
      <c r="R78">
        <v>1040</v>
      </c>
      <c r="S78" s="2">
        <f t="shared" si="39"/>
        <v>2080</v>
      </c>
      <c r="T78" s="2">
        <f t="shared" si="40"/>
        <v>16640</v>
      </c>
      <c r="U78" s="2">
        <f t="shared" si="41"/>
        <v>4.6222222222222218</v>
      </c>
      <c r="V78">
        <v>1040</v>
      </c>
      <c r="W78">
        <v>1040</v>
      </c>
      <c r="X78" s="2">
        <f t="shared" si="42"/>
        <v>2080</v>
      </c>
      <c r="Y78" s="2">
        <f t="shared" si="43"/>
        <v>16640</v>
      </c>
      <c r="Z78" s="2">
        <f t="shared" si="44"/>
        <v>4.6222222222222218</v>
      </c>
      <c r="AA78">
        <v>960</v>
      </c>
      <c r="AB78">
        <v>960</v>
      </c>
      <c r="AC78" s="2">
        <f t="shared" si="45"/>
        <v>1920</v>
      </c>
      <c r="AD78" s="2">
        <f t="shared" si="46"/>
        <v>15360</v>
      </c>
      <c r="AE78" s="2">
        <f t="shared" si="47"/>
        <v>4.2666666666666666</v>
      </c>
      <c r="AF78">
        <v>1120</v>
      </c>
      <c r="AG78">
        <v>1120</v>
      </c>
      <c r="AH78" s="2">
        <f t="shared" si="48"/>
        <v>2240</v>
      </c>
      <c r="AI78" s="2">
        <f t="shared" si="49"/>
        <v>17920</v>
      </c>
      <c r="AJ78" s="2">
        <f t="shared" si="50"/>
        <v>4.9777777777777779</v>
      </c>
      <c r="AK78">
        <v>1120</v>
      </c>
      <c r="AL78">
        <v>1120</v>
      </c>
      <c r="AM78" s="2">
        <f t="shared" si="51"/>
        <v>2240</v>
      </c>
      <c r="AN78" s="2">
        <f t="shared" si="52"/>
        <v>17920</v>
      </c>
      <c r="AO78" s="2">
        <f t="shared" si="53"/>
        <v>4.9777777777777779</v>
      </c>
      <c r="AP78">
        <v>1120</v>
      </c>
      <c r="AQ78">
        <v>1120</v>
      </c>
      <c r="AR78" s="2">
        <f t="shared" si="54"/>
        <v>2240</v>
      </c>
      <c r="AS78" s="2">
        <f t="shared" si="55"/>
        <v>17920</v>
      </c>
      <c r="AT78" s="2">
        <f t="shared" si="56"/>
        <v>4.9777777777777779</v>
      </c>
      <c r="AU78">
        <v>1040</v>
      </c>
      <c r="AV78">
        <v>1040</v>
      </c>
      <c r="AW78" s="2">
        <f t="shared" si="57"/>
        <v>2080</v>
      </c>
      <c r="AX78" s="2">
        <f t="shared" si="58"/>
        <v>16640</v>
      </c>
      <c r="AY78" s="2">
        <f t="shared" si="59"/>
        <v>4.6222222222222218</v>
      </c>
    </row>
    <row r="79" spans="1:51" x14ac:dyDescent="0.3">
      <c r="A79" s="2" t="s">
        <v>83</v>
      </c>
      <c r="B79">
        <v>1040</v>
      </c>
      <c r="C79">
        <v>1040</v>
      </c>
      <c r="D79" s="2">
        <f t="shared" si="30"/>
        <v>2080</v>
      </c>
      <c r="E79" s="2">
        <f t="shared" si="31"/>
        <v>16640</v>
      </c>
      <c r="F79" s="2">
        <f t="shared" si="32"/>
        <v>4.6222222222222218</v>
      </c>
      <c r="G79">
        <v>960</v>
      </c>
      <c r="H79">
        <v>960</v>
      </c>
      <c r="I79" s="2">
        <f t="shared" si="33"/>
        <v>1920</v>
      </c>
      <c r="J79" s="2">
        <f t="shared" si="34"/>
        <v>15360</v>
      </c>
      <c r="K79" s="2">
        <f t="shared" si="35"/>
        <v>4.2666666666666666</v>
      </c>
      <c r="L79">
        <v>1120</v>
      </c>
      <c r="M79">
        <v>1120</v>
      </c>
      <c r="N79" s="2">
        <f t="shared" si="36"/>
        <v>2240</v>
      </c>
      <c r="O79" s="2">
        <f t="shared" si="37"/>
        <v>17920</v>
      </c>
      <c r="P79" s="2">
        <f t="shared" si="38"/>
        <v>4.9777777777777779</v>
      </c>
      <c r="Q79">
        <v>1040</v>
      </c>
      <c r="R79">
        <v>1040</v>
      </c>
      <c r="S79" s="2">
        <f t="shared" si="39"/>
        <v>2080</v>
      </c>
      <c r="T79" s="2">
        <f t="shared" si="40"/>
        <v>16640</v>
      </c>
      <c r="U79" s="2">
        <f t="shared" si="41"/>
        <v>4.6222222222222218</v>
      </c>
      <c r="V79">
        <v>1120</v>
      </c>
      <c r="W79">
        <v>1120</v>
      </c>
      <c r="X79" s="2">
        <f t="shared" si="42"/>
        <v>2240</v>
      </c>
      <c r="Y79" s="2">
        <f t="shared" si="43"/>
        <v>17920</v>
      </c>
      <c r="Z79" s="2">
        <f t="shared" si="44"/>
        <v>4.9777777777777779</v>
      </c>
      <c r="AA79">
        <v>1040</v>
      </c>
      <c r="AB79">
        <v>1040</v>
      </c>
      <c r="AC79" s="2">
        <f t="shared" si="45"/>
        <v>2080</v>
      </c>
      <c r="AD79" s="2">
        <f t="shared" si="46"/>
        <v>16640</v>
      </c>
      <c r="AE79" s="2">
        <f t="shared" si="47"/>
        <v>4.6222222222222218</v>
      </c>
      <c r="AF79">
        <v>1120</v>
      </c>
      <c r="AG79">
        <v>1120</v>
      </c>
      <c r="AH79" s="2">
        <f t="shared" si="48"/>
        <v>2240</v>
      </c>
      <c r="AI79" s="2">
        <f t="shared" si="49"/>
        <v>17920</v>
      </c>
      <c r="AJ79" s="2">
        <f t="shared" si="50"/>
        <v>4.9777777777777779</v>
      </c>
      <c r="AK79">
        <v>1120</v>
      </c>
      <c r="AL79">
        <v>1120</v>
      </c>
      <c r="AM79" s="2">
        <f t="shared" si="51"/>
        <v>2240</v>
      </c>
      <c r="AN79" s="2">
        <f t="shared" si="52"/>
        <v>17920</v>
      </c>
      <c r="AO79" s="2">
        <f t="shared" si="53"/>
        <v>4.9777777777777779</v>
      </c>
      <c r="AP79">
        <v>1120</v>
      </c>
      <c r="AQ79">
        <v>1120</v>
      </c>
      <c r="AR79" s="2">
        <f t="shared" si="54"/>
        <v>2240</v>
      </c>
      <c r="AS79" s="2">
        <f t="shared" si="55"/>
        <v>17920</v>
      </c>
      <c r="AT79" s="2">
        <f t="shared" si="56"/>
        <v>4.9777777777777779</v>
      </c>
      <c r="AU79">
        <v>1040</v>
      </c>
      <c r="AV79">
        <v>1040</v>
      </c>
      <c r="AW79" s="2">
        <f t="shared" si="57"/>
        <v>2080</v>
      </c>
      <c r="AX79" s="2">
        <f t="shared" si="58"/>
        <v>16640</v>
      </c>
      <c r="AY79" s="2">
        <f t="shared" si="59"/>
        <v>4.6222222222222218</v>
      </c>
    </row>
    <row r="80" spans="1:51" x14ac:dyDescent="0.3">
      <c r="A80" s="2" t="s">
        <v>84</v>
      </c>
      <c r="B80">
        <v>1040</v>
      </c>
      <c r="C80">
        <v>1040</v>
      </c>
      <c r="D80" s="2">
        <f t="shared" si="30"/>
        <v>2080</v>
      </c>
      <c r="E80" s="2">
        <f t="shared" si="31"/>
        <v>16640</v>
      </c>
      <c r="F80" s="2">
        <f t="shared" si="32"/>
        <v>4.6222222222222218</v>
      </c>
      <c r="G80">
        <v>1120</v>
      </c>
      <c r="H80">
        <v>1120</v>
      </c>
      <c r="I80" s="2">
        <f t="shared" si="33"/>
        <v>2240</v>
      </c>
      <c r="J80" s="2">
        <f t="shared" si="34"/>
        <v>17920</v>
      </c>
      <c r="K80" s="2">
        <f t="shared" si="35"/>
        <v>4.9777777777777779</v>
      </c>
      <c r="L80">
        <v>880</v>
      </c>
      <c r="M80">
        <v>880</v>
      </c>
      <c r="N80" s="2">
        <f t="shared" si="36"/>
        <v>1760</v>
      </c>
      <c r="O80" s="2">
        <f t="shared" si="37"/>
        <v>14080</v>
      </c>
      <c r="P80" s="2">
        <f t="shared" si="38"/>
        <v>3.911111111111111</v>
      </c>
      <c r="Q80">
        <v>1280</v>
      </c>
      <c r="R80">
        <v>1280</v>
      </c>
      <c r="S80" s="2">
        <f t="shared" si="39"/>
        <v>2560</v>
      </c>
      <c r="T80" s="2">
        <f t="shared" si="40"/>
        <v>20480</v>
      </c>
      <c r="U80" s="2">
        <f t="shared" si="41"/>
        <v>5.6888888888888891</v>
      </c>
      <c r="V80">
        <v>1040</v>
      </c>
      <c r="W80">
        <v>1040</v>
      </c>
      <c r="X80" s="2">
        <f t="shared" si="42"/>
        <v>2080</v>
      </c>
      <c r="Y80" s="2">
        <f t="shared" si="43"/>
        <v>16640</v>
      </c>
      <c r="Z80" s="2">
        <f t="shared" si="44"/>
        <v>4.6222222222222218</v>
      </c>
      <c r="AA80">
        <v>1040</v>
      </c>
      <c r="AB80">
        <v>1040</v>
      </c>
      <c r="AC80" s="2">
        <f t="shared" si="45"/>
        <v>2080</v>
      </c>
      <c r="AD80" s="2">
        <f t="shared" si="46"/>
        <v>16640</v>
      </c>
      <c r="AE80" s="2">
        <f t="shared" si="47"/>
        <v>4.6222222222222218</v>
      </c>
      <c r="AF80">
        <v>1200</v>
      </c>
      <c r="AG80">
        <v>1200</v>
      </c>
      <c r="AH80" s="2">
        <f t="shared" si="48"/>
        <v>2400</v>
      </c>
      <c r="AI80" s="2">
        <f t="shared" si="49"/>
        <v>19200</v>
      </c>
      <c r="AJ80" s="2">
        <f t="shared" si="50"/>
        <v>5.333333333333333</v>
      </c>
      <c r="AK80">
        <v>960</v>
      </c>
      <c r="AL80">
        <v>960</v>
      </c>
      <c r="AM80" s="2">
        <f t="shared" si="51"/>
        <v>1920</v>
      </c>
      <c r="AN80" s="2">
        <f t="shared" si="52"/>
        <v>15360</v>
      </c>
      <c r="AO80" s="2">
        <f t="shared" si="53"/>
        <v>4.2666666666666666</v>
      </c>
      <c r="AP80">
        <v>1040</v>
      </c>
      <c r="AQ80">
        <v>1040</v>
      </c>
      <c r="AR80" s="2">
        <f t="shared" si="54"/>
        <v>2080</v>
      </c>
      <c r="AS80" s="2">
        <f t="shared" si="55"/>
        <v>16640</v>
      </c>
      <c r="AT80" s="2">
        <f t="shared" si="56"/>
        <v>4.6222222222222218</v>
      </c>
      <c r="AU80">
        <v>960</v>
      </c>
      <c r="AV80">
        <v>960</v>
      </c>
      <c r="AW80" s="2">
        <f t="shared" si="57"/>
        <v>1920</v>
      </c>
      <c r="AX80" s="2">
        <f t="shared" si="58"/>
        <v>15360</v>
      </c>
      <c r="AY80" s="2">
        <f t="shared" si="59"/>
        <v>4.2666666666666666</v>
      </c>
    </row>
    <row r="81" spans="1:51" x14ac:dyDescent="0.3">
      <c r="A81" s="2" t="s">
        <v>85</v>
      </c>
      <c r="B81">
        <v>1040</v>
      </c>
      <c r="C81">
        <v>1040</v>
      </c>
      <c r="D81" s="2">
        <f t="shared" si="30"/>
        <v>2080</v>
      </c>
      <c r="E81" s="2">
        <f t="shared" si="31"/>
        <v>16640</v>
      </c>
      <c r="F81" s="2">
        <f t="shared" si="32"/>
        <v>4.6222222222222218</v>
      </c>
      <c r="G81">
        <v>1040</v>
      </c>
      <c r="H81">
        <v>1040</v>
      </c>
      <c r="I81" s="2">
        <f t="shared" si="33"/>
        <v>2080</v>
      </c>
      <c r="J81" s="2">
        <f t="shared" si="34"/>
        <v>16640</v>
      </c>
      <c r="K81" s="2">
        <f t="shared" si="35"/>
        <v>4.6222222222222218</v>
      </c>
      <c r="L81">
        <v>960</v>
      </c>
      <c r="M81">
        <v>960</v>
      </c>
      <c r="N81" s="2">
        <f t="shared" si="36"/>
        <v>1920</v>
      </c>
      <c r="O81" s="2">
        <f t="shared" si="37"/>
        <v>15360</v>
      </c>
      <c r="P81" s="2">
        <f t="shared" si="38"/>
        <v>4.2666666666666666</v>
      </c>
      <c r="Q81">
        <v>880</v>
      </c>
      <c r="R81">
        <v>880</v>
      </c>
      <c r="S81" s="2">
        <f t="shared" si="39"/>
        <v>1760</v>
      </c>
      <c r="T81" s="2">
        <f t="shared" si="40"/>
        <v>14080</v>
      </c>
      <c r="U81" s="2">
        <f t="shared" si="41"/>
        <v>3.911111111111111</v>
      </c>
      <c r="V81">
        <v>1200</v>
      </c>
      <c r="W81">
        <v>1200</v>
      </c>
      <c r="X81" s="2">
        <f t="shared" si="42"/>
        <v>2400</v>
      </c>
      <c r="Y81" s="2">
        <f t="shared" si="43"/>
        <v>19200</v>
      </c>
      <c r="Z81" s="2">
        <f t="shared" si="44"/>
        <v>5.333333333333333</v>
      </c>
      <c r="AA81">
        <v>960</v>
      </c>
      <c r="AB81">
        <v>960</v>
      </c>
      <c r="AC81" s="2">
        <f t="shared" si="45"/>
        <v>1920</v>
      </c>
      <c r="AD81" s="2">
        <f t="shared" si="46"/>
        <v>15360</v>
      </c>
      <c r="AE81" s="2">
        <f t="shared" si="47"/>
        <v>4.2666666666666666</v>
      </c>
      <c r="AF81">
        <v>1120</v>
      </c>
      <c r="AG81">
        <v>1120</v>
      </c>
      <c r="AH81" s="2">
        <f t="shared" si="48"/>
        <v>2240</v>
      </c>
      <c r="AI81" s="2">
        <f t="shared" si="49"/>
        <v>17920</v>
      </c>
      <c r="AJ81" s="2">
        <f t="shared" si="50"/>
        <v>4.9777777777777779</v>
      </c>
      <c r="AK81">
        <v>1120</v>
      </c>
      <c r="AL81">
        <v>1120</v>
      </c>
      <c r="AM81" s="2">
        <f t="shared" si="51"/>
        <v>2240</v>
      </c>
      <c r="AN81" s="2">
        <f t="shared" si="52"/>
        <v>17920</v>
      </c>
      <c r="AO81" s="2">
        <f t="shared" si="53"/>
        <v>4.9777777777777779</v>
      </c>
      <c r="AP81">
        <v>1200</v>
      </c>
      <c r="AQ81">
        <v>1200</v>
      </c>
      <c r="AR81" s="2">
        <f t="shared" si="54"/>
        <v>2400</v>
      </c>
      <c r="AS81" s="2">
        <f t="shared" si="55"/>
        <v>19200</v>
      </c>
      <c r="AT81" s="2">
        <f t="shared" si="56"/>
        <v>5.333333333333333</v>
      </c>
      <c r="AU81">
        <v>1040</v>
      </c>
      <c r="AV81">
        <v>1040</v>
      </c>
      <c r="AW81" s="2">
        <f t="shared" si="57"/>
        <v>2080</v>
      </c>
      <c r="AX81" s="2">
        <f t="shared" si="58"/>
        <v>16640</v>
      </c>
      <c r="AY81" s="2">
        <f t="shared" si="59"/>
        <v>4.6222222222222218</v>
      </c>
    </row>
    <row r="82" spans="1:51" x14ac:dyDescent="0.3">
      <c r="A82" s="2" t="s">
        <v>86</v>
      </c>
      <c r="B82">
        <v>1120</v>
      </c>
      <c r="C82">
        <v>1120</v>
      </c>
      <c r="D82" s="2">
        <f t="shared" si="30"/>
        <v>2240</v>
      </c>
      <c r="E82" s="2">
        <f t="shared" si="31"/>
        <v>17920</v>
      </c>
      <c r="F82" s="2">
        <f t="shared" si="32"/>
        <v>4.9777777777777779</v>
      </c>
      <c r="G82">
        <v>1040</v>
      </c>
      <c r="H82">
        <v>1040</v>
      </c>
      <c r="I82" s="2">
        <f t="shared" si="33"/>
        <v>2080</v>
      </c>
      <c r="J82" s="2">
        <f t="shared" si="34"/>
        <v>16640</v>
      </c>
      <c r="K82" s="2">
        <f t="shared" si="35"/>
        <v>4.6222222222222218</v>
      </c>
      <c r="L82">
        <v>1040</v>
      </c>
      <c r="M82">
        <v>1040</v>
      </c>
      <c r="N82" s="2">
        <f t="shared" si="36"/>
        <v>2080</v>
      </c>
      <c r="O82" s="2">
        <f t="shared" si="37"/>
        <v>16640</v>
      </c>
      <c r="P82" s="2">
        <f t="shared" si="38"/>
        <v>4.6222222222222218</v>
      </c>
      <c r="Q82">
        <v>1120</v>
      </c>
      <c r="R82">
        <v>1120</v>
      </c>
      <c r="S82" s="2">
        <f t="shared" si="39"/>
        <v>2240</v>
      </c>
      <c r="T82" s="2">
        <f t="shared" si="40"/>
        <v>17920</v>
      </c>
      <c r="U82" s="2">
        <f t="shared" si="41"/>
        <v>4.9777777777777779</v>
      </c>
      <c r="V82">
        <v>1200</v>
      </c>
      <c r="W82">
        <v>1200</v>
      </c>
      <c r="X82" s="2">
        <f t="shared" si="42"/>
        <v>2400</v>
      </c>
      <c r="Y82" s="2">
        <f t="shared" si="43"/>
        <v>19200</v>
      </c>
      <c r="Z82" s="2">
        <f t="shared" si="44"/>
        <v>5.333333333333333</v>
      </c>
      <c r="AA82">
        <v>960</v>
      </c>
      <c r="AB82">
        <v>960</v>
      </c>
      <c r="AC82" s="2">
        <f t="shared" si="45"/>
        <v>1920</v>
      </c>
      <c r="AD82" s="2">
        <f t="shared" si="46"/>
        <v>15360</v>
      </c>
      <c r="AE82" s="2">
        <f t="shared" si="47"/>
        <v>4.2666666666666666</v>
      </c>
      <c r="AF82">
        <v>1040</v>
      </c>
      <c r="AG82">
        <v>1040</v>
      </c>
      <c r="AH82" s="2">
        <f t="shared" si="48"/>
        <v>2080</v>
      </c>
      <c r="AI82" s="2">
        <f t="shared" si="49"/>
        <v>16640</v>
      </c>
      <c r="AJ82" s="2">
        <f t="shared" si="50"/>
        <v>4.6222222222222218</v>
      </c>
      <c r="AK82">
        <v>1200</v>
      </c>
      <c r="AL82">
        <v>1200</v>
      </c>
      <c r="AM82" s="2">
        <f t="shared" si="51"/>
        <v>2400</v>
      </c>
      <c r="AN82" s="2">
        <f t="shared" si="52"/>
        <v>19200</v>
      </c>
      <c r="AO82" s="2">
        <f t="shared" si="53"/>
        <v>5.333333333333333</v>
      </c>
      <c r="AP82">
        <v>1200</v>
      </c>
      <c r="AQ82">
        <v>1200</v>
      </c>
      <c r="AR82" s="2">
        <f t="shared" si="54"/>
        <v>2400</v>
      </c>
      <c r="AS82" s="2">
        <f t="shared" si="55"/>
        <v>19200</v>
      </c>
      <c r="AT82" s="2">
        <f t="shared" si="56"/>
        <v>5.333333333333333</v>
      </c>
      <c r="AU82">
        <v>1040</v>
      </c>
      <c r="AV82">
        <v>1040</v>
      </c>
      <c r="AW82" s="2">
        <f t="shared" si="57"/>
        <v>2080</v>
      </c>
      <c r="AX82" s="2">
        <f t="shared" si="58"/>
        <v>16640</v>
      </c>
      <c r="AY82" s="2">
        <f t="shared" si="59"/>
        <v>4.6222222222222218</v>
      </c>
    </row>
    <row r="83" spans="1:51" x14ac:dyDescent="0.3">
      <c r="A83" s="2" t="s">
        <v>87</v>
      </c>
      <c r="B83">
        <v>880</v>
      </c>
      <c r="C83">
        <v>880</v>
      </c>
      <c r="D83" s="2">
        <f t="shared" si="30"/>
        <v>1760</v>
      </c>
      <c r="E83" s="2">
        <f t="shared" si="31"/>
        <v>14080</v>
      </c>
      <c r="F83" s="2">
        <f t="shared" si="32"/>
        <v>3.911111111111111</v>
      </c>
      <c r="G83">
        <v>800</v>
      </c>
      <c r="H83">
        <v>800</v>
      </c>
      <c r="I83" s="2">
        <f t="shared" si="33"/>
        <v>1600</v>
      </c>
      <c r="J83" s="2">
        <f t="shared" si="34"/>
        <v>12800</v>
      </c>
      <c r="K83" s="2">
        <f t="shared" si="35"/>
        <v>3.5555555555555554</v>
      </c>
      <c r="L83">
        <v>1040</v>
      </c>
      <c r="M83">
        <v>1040</v>
      </c>
      <c r="N83" s="2">
        <f t="shared" si="36"/>
        <v>2080</v>
      </c>
      <c r="O83" s="2">
        <f t="shared" si="37"/>
        <v>16640</v>
      </c>
      <c r="P83" s="2">
        <f t="shared" si="38"/>
        <v>4.6222222222222218</v>
      </c>
      <c r="Q83">
        <v>1120</v>
      </c>
      <c r="R83">
        <v>1120</v>
      </c>
      <c r="S83" s="2">
        <f t="shared" si="39"/>
        <v>2240</v>
      </c>
      <c r="T83" s="2">
        <f t="shared" si="40"/>
        <v>17920</v>
      </c>
      <c r="U83" s="2">
        <f t="shared" si="41"/>
        <v>4.9777777777777779</v>
      </c>
      <c r="V83">
        <v>800</v>
      </c>
      <c r="W83">
        <v>800</v>
      </c>
      <c r="X83" s="2">
        <f t="shared" si="42"/>
        <v>1600</v>
      </c>
      <c r="Y83" s="2">
        <f t="shared" si="43"/>
        <v>12800</v>
      </c>
      <c r="Z83" s="2">
        <f t="shared" si="44"/>
        <v>3.5555555555555554</v>
      </c>
      <c r="AA83">
        <v>880</v>
      </c>
      <c r="AB83">
        <v>880</v>
      </c>
      <c r="AC83" s="2">
        <f t="shared" si="45"/>
        <v>1760</v>
      </c>
      <c r="AD83" s="2">
        <f t="shared" si="46"/>
        <v>14080</v>
      </c>
      <c r="AE83" s="2">
        <f t="shared" si="47"/>
        <v>3.911111111111111</v>
      </c>
      <c r="AF83">
        <v>1200</v>
      </c>
      <c r="AG83">
        <v>1200</v>
      </c>
      <c r="AH83" s="2">
        <f t="shared" si="48"/>
        <v>2400</v>
      </c>
      <c r="AI83" s="2">
        <f t="shared" si="49"/>
        <v>19200</v>
      </c>
      <c r="AJ83" s="2">
        <f t="shared" si="50"/>
        <v>5.333333333333333</v>
      </c>
      <c r="AK83">
        <v>1120</v>
      </c>
      <c r="AL83">
        <v>1120</v>
      </c>
      <c r="AM83" s="2">
        <f t="shared" si="51"/>
        <v>2240</v>
      </c>
      <c r="AN83" s="2">
        <f t="shared" si="52"/>
        <v>17920</v>
      </c>
      <c r="AO83" s="2">
        <f t="shared" si="53"/>
        <v>4.9777777777777779</v>
      </c>
      <c r="AP83">
        <v>1040</v>
      </c>
      <c r="AQ83">
        <v>1040</v>
      </c>
      <c r="AR83" s="2">
        <f t="shared" si="54"/>
        <v>2080</v>
      </c>
      <c r="AS83" s="2">
        <f t="shared" si="55"/>
        <v>16640</v>
      </c>
      <c r="AT83" s="2">
        <f t="shared" si="56"/>
        <v>4.6222222222222218</v>
      </c>
      <c r="AU83">
        <v>1120</v>
      </c>
      <c r="AV83">
        <v>1120</v>
      </c>
      <c r="AW83" s="2">
        <f t="shared" si="57"/>
        <v>2240</v>
      </c>
      <c r="AX83" s="2">
        <f t="shared" si="58"/>
        <v>17920</v>
      </c>
      <c r="AY83" s="2">
        <f t="shared" si="59"/>
        <v>4.9777777777777779</v>
      </c>
    </row>
    <row r="84" spans="1:51" x14ac:dyDescent="0.3">
      <c r="A84" s="2" t="s">
        <v>88</v>
      </c>
      <c r="B84">
        <v>1280</v>
      </c>
      <c r="C84">
        <v>1280</v>
      </c>
      <c r="D84" s="2">
        <f t="shared" si="30"/>
        <v>2560</v>
      </c>
      <c r="E84" s="2">
        <f t="shared" si="31"/>
        <v>20480</v>
      </c>
      <c r="F84" s="2">
        <f t="shared" si="32"/>
        <v>5.6888888888888891</v>
      </c>
      <c r="G84">
        <v>1120</v>
      </c>
      <c r="H84">
        <v>1120</v>
      </c>
      <c r="I84" s="2">
        <f t="shared" si="33"/>
        <v>2240</v>
      </c>
      <c r="J84" s="2">
        <f t="shared" si="34"/>
        <v>17920</v>
      </c>
      <c r="K84" s="2">
        <f t="shared" si="35"/>
        <v>4.9777777777777779</v>
      </c>
      <c r="L84">
        <v>960</v>
      </c>
      <c r="M84">
        <v>960</v>
      </c>
      <c r="N84" s="2">
        <f t="shared" si="36"/>
        <v>1920</v>
      </c>
      <c r="O84" s="2">
        <f t="shared" si="37"/>
        <v>15360</v>
      </c>
      <c r="P84" s="2">
        <f t="shared" si="38"/>
        <v>4.2666666666666666</v>
      </c>
      <c r="Q84">
        <v>1200</v>
      </c>
      <c r="R84">
        <v>1200</v>
      </c>
      <c r="S84" s="2">
        <f t="shared" si="39"/>
        <v>2400</v>
      </c>
      <c r="T84" s="2">
        <f t="shared" si="40"/>
        <v>19200</v>
      </c>
      <c r="U84" s="2">
        <f t="shared" si="41"/>
        <v>5.333333333333333</v>
      </c>
      <c r="V84">
        <v>1040</v>
      </c>
      <c r="W84">
        <v>1040</v>
      </c>
      <c r="X84" s="2">
        <f t="shared" si="42"/>
        <v>2080</v>
      </c>
      <c r="Y84" s="2">
        <f t="shared" si="43"/>
        <v>16640</v>
      </c>
      <c r="Z84" s="2">
        <f t="shared" si="44"/>
        <v>4.6222222222222218</v>
      </c>
      <c r="AA84">
        <v>1200</v>
      </c>
      <c r="AB84">
        <v>1200</v>
      </c>
      <c r="AC84" s="2">
        <f t="shared" si="45"/>
        <v>2400</v>
      </c>
      <c r="AD84" s="2">
        <f t="shared" si="46"/>
        <v>19200</v>
      </c>
      <c r="AE84" s="2">
        <f t="shared" si="47"/>
        <v>5.333333333333333</v>
      </c>
      <c r="AF84">
        <v>1280</v>
      </c>
      <c r="AG84">
        <v>1280</v>
      </c>
      <c r="AH84" s="2">
        <f t="shared" si="48"/>
        <v>2560</v>
      </c>
      <c r="AI84" s="2">
        <f t="shared" si="49"/>
        <v>20480</v>
      </c>
      <c r="AJ84" s="2">
        <f t="shared" si="50"/>
        <v>5.6888888888888891</v>
      </c>
      <c r="AK84">
        <v>1120</v>
      </c>
      <c r="AL84">
        <v>1120</v>
      </c>
      <c r="AM84" s="2">
        <f t="shared" si="51"/>
        <v>2240</v>
      </c>
      <c r="AN84" s="2">
        <f t="shared" si="52"/>
        <v>17920</v>
      </c>
      <c r="AO84" s="2">
        <f t="shared" si="53"/>
        <v>4.9777777777777779</v>
      </c>
      <c r="AP84">
        <v>1120</v>
      </c>
      <c r="AQ84">
        <v>1120</v>
      </c>
      <c r="AR84" s="2">
        <f t="shared" si="54"/>
        <v>2240</v>
      </c>
      <c r="AS84" s="2">
        <f t="shared" si="55"/>
        <v>17920</v>
      </c>
      <c r="AT84" s="2">
        <f t="shared" si="56"/>
        <v>4.9777777777777779</v>
      </c>
      <c r="AU84">
        <v>1200</v>
      </c>
      <c r="AV84">
        <v>1200</v>
      </c>
      <c r="AW84" s="2">
        <f t="shared" si="57"/>
        <v>2400</v>
      </c>
      <c r="AX84" s="2">
        <f t="shared" si="58"/>
        <v>19200</v>
      </c>
      <c r="AY84" s="2">
        <f t="shared" si="59"/>
        <v>5.333333333333333</v>
      </c>
    </row>
    <row r="85" spans="1:51" x14ac:dyDescent="0.3">
      <c r="A85" s="2" t="s">
        <v>89</v>
      </c>
      <c r="B85">
        <v>1120</v>
      </c>
      <c r="C85">
        <v>1120</v>
      </c>
      <c r="D85" s="2">
        <f t="shared" si="30"/>
        <v>2240</v>
      </c>
      <c r="E85" s="2">
        <f t="shared" si="31"/>
        <v>17920</v>
      </c>
      <c r="F85" s="2">
        <f t="shared" si="32"/>
        <v>4.9777777777777779</v>
      </c>
      <c r="G85">
        <v>1200</v>
      </c>
      <c r="H85">
        <v>1200</v>
      </c>
      <c r="I85" s="2">
        <f t="shared" si="33"/>
        <v>2400</v>
      </c>
      <c r="J85" s="2">
        <f t="shared" si="34"/>
        <v>19200</v>
      </c>
      <c r="K85" s="2">
        <f t="shared" si="35"/>
        <v>5.333333333333333</v>
      </c>
      <c r="L85">
        <v>960</v>
      </c>
      <c r="M85">
        <v>960</v>
      </c>
      <c r="N85" s="2">
        <f t="shared" si="36"/>
        <v>1920</v>
      </c>
      <c r="O85" s="2">
        <f t="shared" si="37"/>
        <v>15360</v>
      </c>
      <c r="P85" s="2">
        <f t="shared" si="38"/>
        <v>4.2666666666666666</v>
      </c>
      <c r="Q85">
        <v>1280</v>
      </c>
      <c r="R85">
        <v>1280</v>
      </c>
      <c r="S85" s="2">
        <f t="shared" si="39"/>
        <v>2560</v>
      </c>
      <c r="T85" s="2">
        <f t="shared" si="40"/>
        <v>20480</v>
      </c>
      <c r="U85" s="2">
        <f t="shared" si="41"/>
        <v>5.6888888888888891</v>
      </c>
      <c r="V85">
        <v>1040</v>
      </c>
      <c r="W85">
        <v>1040</v>
      </c>
      <c r="X85" s="2">
        <f t="shared" si="42"/>
        <v>2080</v>
      </c>
      <c r="Y85" s="2">
        <f t="shared" si="43"/>
        <v>16640</v>
      </c>
      <c r="Z85" s="2">
        <f t="shared" si="44"/>
        <v>4.6222222222222218</v>
      </c>
      <c r="AA85">
        <v>1120</v>
      </c>
      <c r="AB85">
        <v>1120</v>
      </c>
      <c r="AC85" s="2">
        <f t="shared" si="45"/>
        <v>2240</v>
      </c>
      <c r="AD85" s="2">
        <f t="shared" si="46"/>
        <v>17920</v>
      </c>
      <c r="AE85" s="2">
        <f t="shared" si="47"/>
        <v>4.9777777777777779</v>
      </c>
      <c r="AF85">
        <v>1280</v>
      </c>
      <c r="AG85">
        <v>1280</v>
      </c>
      <c r="AH85" s="2">
        <f t="shared" si="48"/>
        <v>2560</v>
      </c>
      <c r="AI85" s="2">
        <f t="shared" si="49"/>
        <v>20480</v>
      </c>
      <c r="AJ85" s="2">
        <f t="shared" si="50"/>
        <v>5.6888888888888891</v>
      </c>
      <c r="AK85">
        <v>1040</v>
      </c>
      <c r="AL85">
        <v>1040</v>
      </c>
      <c r="AM85" s="2">
        <f t="shared" si="51"/>
        <v>2080</v>
      </c>
      <c r="AN85" s="2">
        <f t="shared" si="52"/>
        <v>16640</v>
      </c>
      <c r="AO85" s="2">
        <f t="shared" si="53"/>
        <v>4.6222222222222218</v>
      </c>
      <c r="AP85">
        <v>1040</v>
      </c>
      <c r="AQ85">
        <v>1040</v>
      </c>
      <c r="AR85" s="2">
        <f t="shared" si="54"/>
        <v>2080</v>
      </c>
      <c r="AS85" s="2">
        <f t="shared" si="55"/>
        <v>16640</v>
      </c>
      <c r="AT85" s="2">
        <f t="shared" si="56"/>
        <v>4.6222222222222218</v>
      </c>
      <c r="AU85">
        <v>1120</v>
      </c>
      <c r="AV85">
        <v>1120</v>
      </c>
      <c r="AW85" s="2">
        <f t="shared" si="57"/>
        <v>2240</v>
      </c>
      <c r="AX85" s="2">
        <f t="shared" si="58"/>
        <v>17920</v>
      </c>
      <c r="AY85" s="2">
        <f t="shared" si="59"/>
        <v>4.9777777777777779</v>
      </c>
    </row>
    <row r="86" spans="1:51" x14ac:dyDescent="0.3">
      <c r="A86" s="2" t="s">
        <v>90</v>
      </c>
      <c r="B86">
        <v>1200</v>
      </c>
      <c r="C86">
        <v>1200</v>
      </c>
      <c r="D86" s="2">
        <f t="shared" si="30"/>
        <v>2400</v>
      </c>
      <c r="E86" s="2">
        <f t="shared" si="31"/>
        <v>19200</v>
      </c>
      <c r="F86" s="2">
        <f t="shared" si="32"/>
        <v>5.333333333333333</v>
      </c>
      <c r="G86">
        <v>1200</v>
      </c>
      <c r="H86">
        <v>1200</v>
      </c>
      <c r="I86" s="2">
        <f t="shared" si="33"/>
        <v>2400</v>
      </c>
      <c r="J86" s="2">
        <f t="shared" si="34"/>
        <v>19200</v>
      </c>
      <c r="K86" s="2">
        <f t="shared" si="35"/>
        <v>5.333333333333333</v>
      </c>
      <c r="L86">
        <v>1120</v>
      </c>
      <c r="M86">
        <v>1120</v>
      </c>
      <c r="N86" s="2">
        <f t="shared" si="36"/>
        <v>2240</v>
      </c>
      <c r="O86" s="2">
        <f t="shared" si="37"/>
        <v>17920</v>
      </c>
      <c r="P86" s="2">
        <f t="shared" si="38"/>
        <v>4.9777777777777779</v>
      </c>
      <c r="Q86">
        <v>1040</v>
      </c>
      <c r="R86">
        <v>1040</v>
      </c>
      <c r="S86" s="2">
        <f t="shared" si="39"/>
        <v>2080</v>
      </c>
      <c r="T86" s="2">
        <f t="shared" si="40"/>
        <v>16640</v>
      </c>
      <c r="U86" s="2">
        <f t="shared" si="41"/>
        <v>4.6222222222222218</v>
      </c>
      <c r="V86">
        <v>960</v>
      </c>
      <c r="W86">
        <v>960</v>
      </c>
      <c r="X86" s="2">
        <f t="shared" si="42"/>
        <v>1920</v>
      </c>
      <c r="Y86" s="2">
        <f t="shared" si="43"/>
        <v>15360</v>
      </c>
      <c r="Z86" s="2">
        <f t="shared" si="44"/>
        <v>4.2666666666666666</v>
      </c>
      <c r="AA86">
        <v>1200</v>
      </c>
      <c r="AB86">
        <v>1200</v>
      </c>
      <c r="AC86" s="2">
        <f t="shared" si="45"/>
        <v>2400</v>
      </c>
      <c r="AD86" s="2">
        <f t="shared" si="46"/>
        <v>19200</v>
      </c>
      <c r="AE86" s="2">
        <f t="shared" si="47"/>
        <v>5.333333333333333</v>
      </c>
      <c r="AF86">
        <v>1200</v>
      </c>
      <c r="AG86">
        <v>1200</v>
      </c>
      <c r="AH86" s="2">
        <f t="shared" si="48"/>
        <v>2400</v>
      </c>
      <c r="AI86" s="2">
        <f t="shared" si="49"/>
        <v>19200</v>
      </c>
      <c r="AJ86" s="2">
        <f t="shared" si="50"/>
        <v>5.333333333333333</v>
      </c>
      <c r="AK86">
        <v>960</v>
      </c>
      <c r="AL86">
        <v>960</v>
      </c>
      <c r="AM86" s="2">
        <f t="shared" si="51"/>
        <v>1920</v>
      </c>
      <c r="AN86" s="2">
        <f t="shared" si="52"/>
        <v>15360</v>
      </c>
      <c r="AO86" s="2">
        <f t="shared" si="53"/>
        <v>4.2666666666666666</v>
      </c>
      <c r="AP86">
        <v>1120</v>
      </c>
      <c r="AQ86">
        <v>1120</v>
      </c>
      <c r="AR86" s="2">
        <f t="shared" si="54"/>
        <v>2240</v>
      </c>
      <c r="AS86" s="2">
        <f t="shared" si="55"/>
        <v>17920</v>
      </c>
      <c r="AT86" s="2">
        <f t="shared" si="56"/>
        <v>4.9777777777777779</v>
      </c>
      <c r="AU86">
        <v>1120</v>
      </c>
      <c r="AV86">
        <v>1120</v>
      </c>
      <c r="AW86" s="2">
        <f t="shared" si="57"/>
        <v>2240</v>
      </c>
      <c r="AX86" s="2">
        <f t="shared" si="58"/>
        <v>17920</v>
      </c>
      <c r="AY86" s="2">
        <f t="shared" si="59"/>
        <v>4.9777777777777779</v>
      </c>
    </row>
    <row r="87" spans="1:51" x14ac:dyDescent="0.3">
      <c r="A87" s="2" t="s">
        <v>91</v>
      </c>
      <c r="B87">
        <v>1200</v>
      </c>
      <c r="C87">
        <v>1200</v>
      </c>
      <c r="D87" s="2">
        <f t="shared" si="30"/>
        <v>2400</v>
      </c>
      <c r="E87" s="2">
        <f t="shared" si="31"/>
        <v>19200</v>
      </c>
      <c r="F87" s="2">
        <f t="shared" si="32"/>
        <v>5.333333333333333</v>
      </c>
      <c r="G87">
        <v>800</v>
      </c>
      <c r="H87">
        <v>800</v>
      </c>
      <c r="I87" s="2">
        <f t="shared" si="33"/>
        <v>1600</v>
      </c>
      <c r="J87" s="2">
        <f t="shared" si="34"/>
        <v>12800</v>
      </c>
      <c r="K87" s="2">
        <f t="shared" si="35"/>
        <v>3.5555555555555554</v>
      </c>
      <c r="L87">
        <v>1040</v>
      </c>
      <c r="M87">
        <v>1040</v>
      </c>
      <c r="N87" s="2">
        <f t="shared" si="36"/>
        <v>2080</v>
      </c>
      <c r="O87" s="2">
        <f t="shared" si="37"/>
        <v>16640</v>
      </c>
      <c r="P87" s="2">
        <f t="shared" si="38"/>
        <v>4.6222222222222218</v>
      </c>
      <c r="Q87">
        <v>960</v>
      </c>
      <c r="R87">
        <v>960</v>
      </c>
      <c r="S87" s="2">
        <f t="shared" si="39"/>
        <v>1920</v>
      </c>
      <c r="T87" s="2">
        <f t="shared" si="40"/>
        <v>15360</v>
      </c>
      <c r="U87" s="2">
        <f t="shared" si="41"/>
        <v>4.2666666666666666</v>
      </c>
      <c r="V87">
        <v>1040</v>
      </c>
      <c r="W87">
        <v>1040</v>
      </c>
      <c r="X87" s="2">
        <f t="shared" si="42"/>
        <v>2080</v>
      </c>
      <c r="Y87" s="2">
        <f t="shared" si="43"/>
        <v>16640</v>
      </c>
      <c r="Z87" s="2">
        <f t="shared" si="44"/>
        <v>4.6222222222222218</v>
      </c>
      <c r="AA87">
        <v>1040</v>
      </c>
      <c r="AB87">
        <v>1040</v>
      </c>
      <c r="AC87" s="2">
        <f t="shared" si="45"/>
        <v>2080</v>
      </c>
      <c r="AD87" s="2">
        <f t="shared" si="46"/>
        <v>16640</v>
      </c>
      <c r="AE87" s="2">
        <f t="shared" si="47"/>
        <v>4.6222222222222218</v>
      </c>
      <c r="AF87">
        <v>880</v>
      </c>
      <c r="AG87">
        <v>880</v>
      </c>
      <c r="AH87" s="2">
        <f t="shared" si="48"/>
        <v>1760</v>
      </c>
      <c r="AI87" s="2">
        <f t="shared" si="49"/>
        <v>14080</v>
      </c>
      <c r="AJ87" s="2">
        <f t="shared" si="50"/>
        <v>3.911111111111111</v>
      </c>
      <c r="AK87">
        <v>1200</v>
      </c>
      <c r="AL87">
        <v>1200</v>
      </c>
      <c r="AM87" s="2">
        <f t="shared" si="51"/>
        <v>2400</v>
      </c>
      <c r="AN87" s="2">
        <f t="shared" si="52"/>
        <v>19200</v>
      </c>
      <c r="AO87" s="2">
        <f t="shared" si="53"/>
        <v>5.333333333333333</v>
      </c>
      <c r="AP87">
        <v>1120</v>
      </c>
      <c r="AQ87">
        <v>1120</v>
      </c>
      <c r="AR87" s="2">
        <f t="shared" si="54"/>
        <v>2240</v>
      </c>
      <c r="AS87" s="2">
        <f t="shared" si="55"/>
        <v>17920</v>
      </c>
      <c r="AT87" s="2">
        <f t="shared" si="56"/>
        <v>4.9777777777777779</v>
      </c>
      <c r="AU87">
        <v>1200</v>
      </c>
      <c r="AV87">
        <v>1200</v>
      </c>
      <c r="AW87" s="2">
        <f t="shared" si="57"/>
        <v>2400</v>
      </c>
      <c r="AX87" s="2">
        <f t="shared" si="58"/>
        <v>19200</v>
      </c>
      <c r="AY87" s="2">
        <f t="shared" si="59"/>
        <v>5.333333333333333</v>
      </c>
    </row>
    <row r="88" spans="1:51" x14ac:dyDescent="0.3">
      <c r="A88" s="2" t="s">
        <v>92</v>
      </c>
      <c r="B88">
        <v>1360</v>
      </c>
      <c r="C88">
        <v>1360</v>
      </c>
      <c r="D88" s="2">
        <f t="shared" si="30"/>
        <v>2720</v>
      </c>
      <c r="E88" s="2">
        <f t="shared" si="31"/>
        <v>21760</v>
      </c>
      <c r="F88" s="2">
        <f t="shared" si="32"/>
        <v>6.0444444444444443</v>
      </c>
      <c r="G88">
        <v>1200</v>
      </c>
      <c r="H88">
        <v>1200</v>
      </c>
      <c r="I88" s="2">
        <f t="shared" si="33"/>
        <v>2400</v>
      </c>
      <c r="J88" s="2">
        <f t="shared" si="34"/>
        <v>19200</v>
      </c>
      <c r="K88" s="2">
        <f t="shared" si="35"/>
        <v>5.333333333333333</v>
      </c>
      <c r="L88">
        <v>1040</v>
      </c>
      <c r="M88">
        <v>1040</v>
      </c>
      <c r="N88" s="2">
        <f t="shared" si="36"/>
        <v>2080</v>
      </c>
      <c r="O88" s="2">
        <f t="shared" si="37"/>
        <v>16640</v>
      </c>
      <c r="P88" s="2">
        <f t="shared" si="38"/>
        <v>4.6222222222222218</v>
      </c>
      <c r="Q88">
        <v>1200</v>
      </c>
      <c r="R88">
        <v>1200</v>
      </c>
      <c r="S88" s="2">
        <f t="shared" si="39"/>
        <v>2400</v>
      </c>
      <c r="T88" s="2">
        <f t="shared" si="40"/>
        <v>19200</v>
      </c>
      <c r="U88" s="2">
        <f t="shared" si="41"/>
        <v>5.333333333333333</v>
      </c>
      <c r="V88">
        <v>1120</v>
      </c>
      <c r="W88">
        <v>1120</v>
      </c>
      <c r="X88" s="2">
        <f t="shared" si="42"/>
        <v>2240</v>
      </c>
      <c r="Y88" s="2">
        <f t="shared" si="43"/>
        <v>17920</v>
      </c>
      <c r="Z88" s="2">
        <f t="shared" si="44"/>
        <v>4.9777777777777779</v>
      </c>
      <c r="AA88">
        <v>1120</v>
      </c>
      <c r="AB88">
        <v>1120</v>
      </c>
      <c r="AC88" s="2">
        <f t="shared" si="45"/>
        <v>2240</v>
      </c>
      <c r="AD88" s="2">
        <f t="shared" si="46"/>
        <v>17920</v>
      </c>
      <c r="AE88" s="2">
        <f t="shared" si="47"/>
        <v>4.9777777777777779</v>
      </c>
      <c r="AF88">
        <v>880</v>
      </c>
      <c r="AG88">
        <v>880</v>
      </c>
      <c r="AH88" s="2">
        <f t="shared" si="48"/>
        <v>1760</v>
      </c>
      <c r="AI88" s="2">
        <f t="shared" si="49"/>
        <v>14080</v>
      </c>
      <c r="AJ88" s="2">
        <f t="shared" si="50"/>
        <v>3.911111111111111</v>
      </c>
      <c r="AK88">
        <v>1200</v>
      </c>
      <c r="AL88">
        <v>1200</v>
      </c>
      <c r="AM88" s="2">
        <f t="shared" si="51"/>
        <v>2400</v>
      </c>
      <c r="AN88" s="2">
        <f t="shared" si="52"/>
        <v>19200</v>
      </c>
      <c r="AO88" s="2">
        <f t="shared" si="53"/>
        <v>5.333333333333333</v>
      </c>
      <c r="AP88">
        <v>1040</v>
      </c>
      <c r="AQ88">
        <v>1040</v>
      </c>
      <c r="AR88" s="2">
        <f t="shared" si="54"/>
        <v>2080</v>
      </c>
      <c r="AS88" s="2">
        <f t="shared" si="55"/>
        <v>16640</v>
      </c>
      <c r="AT88" s="2">
        <f t="shared" si="56"/>
        <v>4.6222222222222218</v>
      </c>
      <c r="AU88">
        <v>1200</v>
      </c>
      <c r="AV88">
        <v>1200</v>
      </c>
      <c r="AW88" s="2">
        <f t="shared" si="57"/>
        <v>2400</v>
      </c>
      <c r="AX88" s="2">
        <f t="shared" si="58"/>
        <v>19200</v>
      </c>
      <c r="AY88" s="2">
        <f t="shared" si="59"/>
        <v>5.333333333333333</v>
      </c>
    </row>
    <row r="89" spans="1:51" x14ac:dyDescent="0.3">
      <c r="A89" s="2" t="s">
        <v>93</v>
      </c>
      <c r="B89">
        <v>1280</v>
      </c>
      <c r="C89">
        <v>1280</v>
      </c>
      <c r="D89" s="2">
        <f t="shared" si="30"/>
        <v>2560</v>
      </c>
      <c r="E89" s="2">
        <f t="shared" si="31"/>
        <v>20480</v>
      </c>
      <c r="F89" s="2">
        <f t="shared" si="32"/>
        <v>5.6888888888888891</v>
      </c>
      <c r="G89">
        <v>1040</v>
      </c>
      <c r="H89">
        <v>1040</v>
      </c>
      <c r="I89" s="2">
        <f t="shared" si="33"/>
        <v>2080</v>
      </c>
      <c r="J89" s="2">
        <f t="shared" si="34"/>
        <v>16640</v>
      </c>
      <c r="K89" s="2">
        <f t="shared" si="35"/>
        <v>4.6222222222222218</v>
      </c>
      <c r="L89">
        <v>1120</v>
      </c>
      <c r="M89">
        <v>1120</v>
      </c>
      <c r="N89" s="2">
        <f t="shared" si="36"/>
        <v>2240</v>
      </c>
      <c r="O89" s="2">
        <f t="shared" si="37"/>
        <v>17920</v>
      </c>
      <c r="P89" s="2">
        <f t="shared" si="38"/>
        <v>4.9777777777777779</v>
      </c>
      <c r="Q89">
        <v>1120</v>
      </c>
      <c r="R89">
        <v>1120</v>
      </c>
      <c r="S89" s="2">
        <f t="shared" si="39"/>
        <v>2240</v>
      </c>
      <c r="T89" s="2">
        <f t="shared" si="40"/>
        <v>17920</v>
      </c>
      <c r="U89" s="2">
        <f t="shared" si="41"/>
        <v>4.9777777777777779</v>
      </c>
      <c r="V89">
        <v>1120</v>
      </c>
      <c r="W89">
        <v>1120</v>
      </c>
      <c r="X89" s="2">
        <f t="shared" si="42"/>
        <v>2240</v>
      </c>
      <c r="Y89" s="2">
        <f t="shared" si="43"/>
        <v>17920</v>
      </c>
      <c r="Z89" s="2">
        <f t="shared" si="44"/>
        <v>4.9777777777777779</v>
      </c>
      <c r="AA89">
        <v>960</v>
      </c>
      <c r="AB89">
        <v>960</v>
      </c>
      <c r="AC89" s="2">
        <f t="shared" si="45"/>
        <v>1920</v>
      </c>
      <c r="AD89" s="2">
        <f t="shared" si="46"/>
        <v>15360</v>
      </c>
      <c r="AE89" s="2">
        <f t="shared" si="47"/>
        <v>4.2666666666666666</v>
      </c>
      <c r="AF89">
        <v>1280</v>
      </c>
      <c r="AG89">
        <v>1280</v>
      </c>
      <c r="AH89" s="2">
        <f t="shared" si="48"/>
        <v>2560</v>
      </c>
      <c r="AI89" s="2">
        <f t="shared" si="49"/>
        <v>20480</v>
      </c>
      <c r="AJ89" s="2">
        <f t="shared" si="50"/>
        <v>5.6888888888888891</v>
      </c>
      <c r="AK89">
        <v>1040</v>
      </c>
      <c r="AL89">
        <v>1040</v>
      </c>
      <c r="AM89" s="2">
        <f t="shared" si="51"/>
        <v>2080</v>
      </c>
      <c r="AN89" s="2">
        <f t="shared" si="52"/>
        <v>16640</v>
      </c>
      <c r="AO89" s="2">
        <f t="shared" si="53"/>
        <v>4.6222222222222218</v>
      </c>
      <c r="AP89">
        <v>960</v>
      </c>
      <c r="AQ89">
        <v>960</v>
      </c>
      <c r="AR89" s="2">
        <f t="shared" si="54"/>
        <v>1920</v>
      </c>
      <c r="AS89" s="2">
        <f t="shared" si="55"/>
        <v>15360</v>
      </c>
      <c r="AT89" s="2">
        <f t="shared" si="56"/>
        <v>4.2666666666666666</v>
      </c>
      <c r="AU89">
        <v>1040</v>
      </c>
      <c r="AV89">
        <v>1040</v>
      </c>
      <c r="AW89" s="2">
        <f t="shared" si="57"/>
        <v>2080</v>
      </c>
      <c r="AX89" s="2">
        <f t="shared" si="58"/>
        <v>16640</v>
      </c>
      <c r="AY89" s="2">
        <f t="shared" si="59"/>
        <v>4.6222222222222218</v>
      </c>
    </row>
    <row r="90" spans="1:51" x14ac:dyDescent="0.3">
      <c r="A90" s="2" t="s">
        <v>94</v>
      </c>
      <c r="B90">
        <v>1200</v>
      </c>
      <c r="C90">
        <v>1200</v>
      </c>
      <c r="D90" s="2">
        <f t="shared" si="30"/>
        <v>2400</v>
      </c>
      <c r="E90" s="2">
        <f t="shared" si="31"/>
        <v>19200</v>
      </c>
      <c r="F90" s="2">
        <f t="shared" si="32"/>
        <v>5.333333333333333</v>
      </c>
      <c r="G90">
        <v>1040</v>
      </c>
      <c r="H90">
        <v>1040</v>
      </c>
      <c r="I90" s="2">
        <f t="shared" si="33"/>
        <v>2080</v>
      </c>
      <c r="J90" s="2">
        <f t="shared" si="34"/>
        <v>16640</v>
      </c>
      <c r="K90" s="2">
        <f t="shared" si="35"/>
        <v>4.6222222222222218</v>
      </c>
      <c r="L90">
        <v>1200</v>
      </c>
      <c r="M90">
        <v>1200</v>
      </c>
      <c r="N90" s="2">
        <f t="shared" si="36"/>
        <v>2400</v>
      </c>
      <c r="O90" s="2">
        <f t="shared" si="37"/>
        <v>19200</v>
      </c>
      <c r="P90" s="2">
        <f t="shared" si="38"/>
        <v>5.333333333333333</v>
      </c>
      <c r="Q90">
        <v>960</v>
      </c>
      <c r="R90">
        <v>960</v>
      </c>
      <c r="S90" s="2">
        <f t="shared" si="39"/>
        <v>1920</v>
      </c>
      <c r="T90" s="2">
        <f t="shared" si="40"/>
        <v>15360</v>
      </c>
      <c r="U90" s="2">
        <f t="shared" si="41"/>
        <v>4.2666666666666666</v>
      </c>
      <c r="V90">
        <v>1120</v>
      </c>
      <c r="W90">
        <v>1120</v>
      </c>
      <c r="X90" s="2">
        <f t="shared" si="42"/>
        <v>2240</v>
      </c>
      <c r="Y90" s="2">
        <f t="shared" si="43"/>
        <v>17920</v>
      </c>
      <c r="Z90" s="2">
        <f t="shared" si="44"/>
        <v>4.9777777777777779</v>
      </c>
      <c r="AA90">
        <v>1200</v>
      </c>
      <c r="AB90">
        <v>1200</v>
      </c>
      <c r="AC90" s="2">
        <f t="shared" si="45"/>
        <v>2400</v>
      </c>
      <c r="AD90" s="2">
        <f t="shared" si="46"/>
        <v>19200</v>
      </c>
      <c r="AE90" s="2">
        <f t="shared" si="47"/>
        <v>5.333333333333333</v>
      </c>
      <c r="AF90">
        <v>1040</v>
      </c>
      <c r="AG90">
        <v>1040</v>
      </c>
      <c r="AH90" s="2">
        <f t="shared" si="48"/>
        <v>2080</v>
      </c>
      <c r="AI90" s="2">
        <f t="shared" si="49"/>
        <v>16640</v>
      </c>
      <c r="AJ90" s="2">
        <f t="shared" si="50"/>
        <v>4.6222222222222218</v>
      </c>
      <c r="AK90">
        <v>1280</v>
      </c>
      <c r="AL90">
        <v>1280</v>
      </c>
      <c r="AM90" s="2">
        <f t="shared" si="51"/>
        <v>2560</v>
      </c>
      <c r="AN90" s="2">
        <f t="shared" si="52"/>
        <v>20480</v>
      </c>
      <c r="AO90" s="2">
        <f t="shared" si="53"/>
        <v>5.6888888888888891</v>
      </c>
      <c r="AP90">
        <v>1040</v>
      </c>
      <c r="AQ90">
        <v>1040</v>
      </c>
      <c r="AR90" s="2">
        <f t="shared" si="54"/>
        <v>2080</v>
      </c>
      <c r="AS90" s="2">
        <f t="shared" si="55"/>
        <v>16640</v>
      </c>
      <c r="AT90" s="2">
        <f t="shared" si="56"/>
        <v>4.6222222222222218</v>
      </c>
      <c r="AU90">
        <v>1120</v>
      </c>
      <c r="AV90">
        <v>1120</v>
      </c>
      <c r="AW90" s="2">
        <f t="shared" si="57"/>
        <v>2240</v>
      </c>
      <c r="AX90" s="2">
        <f t="shared" si="58"/>
        <v>17920</v>
      </c>
      <c r="AY90" s="2">
        <f t="shared" si="59"/>
        <v>4.9777777777777779</v>
      </c>
    </row>
    <row r="91" spans="1:51" x14ac:dyDescent="0.3">
      <c r="A91" s="2" t="s">
        <v>95</v>
      </c>
      <c r="B91">
        <v>960</v>
      </c>
      <c r="C91">
        <v>960</v>
      </c>
      <c r="D91" s="2">
        <f t="shared" si="30"/>
        <v>1920</v>
      </c>
      <c r="E91" s="2">
        <f t="shared" si="31"/>
        <v>15360</v>
      </c>
      <c r="F91" s="2">
        <f t="shared" si="32"/>
        <v>4.2666666666666666</v>
      </c>
      <c r="G91">
        <v>1040</v>
      </c>
      <c r="H91">
        <v>1040</v>
      </c>
      <c r="I91" s="2">
        <f t="shared" si="33"/>
        <v>2080</v>
      </c>
      <c r="J91" s="2">
        <f t="shared" si="34"/>
        <v>16640</v>
      </c>
      <c r="K91" s="2">
        <f t="shared" si="35"/>
        <v>4.6222222222222218</v>
      </c>
      <c r="L91">
        <v>1120</v>
      </c>
      <c r="M91">
        <v>1120</v>
      </c>
      <c r="N91" s="2">
        <f t="shared" si="36"/>
        <v>2240</v>
      </c>
      <c r="O91" s="2">
        <f t="shared" si="37"/>
        <v>17920</v>
      </c>
      <c r="P91" s="2">
        <f t="shared" si="38"/>
        <v>4.9777777777777779</v>
      </c>
      <c r="Q91">
        <v>1120</v>
      </c>
      <c r="R91">
        <v>1120</v>
      </c>
      <c r="S91" s="2">
        <f t="shared" si="39"/>
        <v>2240</v>
      </c>
      <c r="T91" s="2">
        <f t="shared" si="40"/>
        <v>17920</v>
      </c>
      <c r="U91" s="2">
        <f t="shared" si="41"/>
        <v>4.9777777777777779</v>
      </c>
      <c r="V91">
        <v>1120</v>
      </c>
      <c r="W91">
        <v>1120</v>
      </c>
      <c r="X91" s="2">
        <f t="shared" si="42"/>
        <v>2240</v>
      </c>
      <c r="Y91" s="2">
        <f t="shared" si="43"/>
        <v>17920</v>
      </c>
      <c r="Z91" s="2">
        <f t="shared" si="44"/>
        <v>4.9777777777777779</v>
      </c>
      <c r="AA91">
        <v>1040</v>
      </c>
      <c r="AB91">
        <v>1040</v>
      </c>
      <c r="AC91" s="2">
        <f t="shared" si="45"/>
        <v>2080</v>
      </c>
      <c r="AD91" s="2">
        <f t="shared" si="46"/>
        <v>16640</v>
      </c>
      <c r="AE91" s="2">
        <f t="shared" si="47"/>
        <v>4.6222222222222218</v>
      </c>
      <c r="AF91">
        <v>1280</v>
      </c>
      <c r="AG91">
        <v>1280</v>
      </c>
      <c r="AH91" s="2">
        <f t="shared" si="48"/>
        <v>2560</v>
      </c>
      <c r="AI91" s="2">
        <f t="shared" si="49"/>
        <v>20480</v>
      </c>
      <c r="AJ91" s="2">
        <f t="shared" si="50"/>
        <v>5.6888888888888891</v>
      </c>
      <c r="AK91">
        <v>960</v>
      </c>
      <c r="AL91">
        <v>960</v>
      </c>
      <c r="AM91" s="2">
        <f t="shared" si="51"/>
        <v>1920</v>
      </c>
      <c r="AN91" s="2">
        <f t="shared" si="52"/>
        <v>15360</v>
      </c>
      <c r="AO91" s="2">
        <f t="shared" si="53"/>
        <v>4.2666666666666666</v>
      </c>
      <c r="AP91">
        <v>1040</v>
      </c>
      <c r="AQ91">
        <v>1040</v>
      </c>
      <c r="AR91" s="2">
        <f t="shared" si="54"/>
        <v>2080</v>
      </c>
      <c r="AS91" s="2">
        <f t="shared" si="55"/>
        <v>16640</v>
      </c>
      <c r="AT91" s="2">
        <f t="shared" si="56"/>
        <v>4.6222222222222218</v>
      </c>
      <c r="AU91">
        <v>880</v>
      </c>
      <c r="AV91">
        <v>880</v>
      </c>
      <c r="AW91" s="2">
        <f t="shared" si="57"/>
        <v>1760</v>
      </c>
      <c r="AX91" s="2">
        <f t="shared" si="58"/>
        <v>14080</v>
      </c>
      <c r="AY91" s="2">
        <f t="shared" si="59"/>
        <v>3.911111111111111</v>
      </c>
    </row>
    <row r="92" spans="1:51" x14ac:dyDescent="0.3">
      <c r="A92" s="2" t="s">
        <v>96</v>
      </c>
      <c r="B92">
        <v>1200</v>
      </c>
      <c r="C92">
        <v>1200</v>
      </c>
      <c r="D92" s="2">
        <f t="shared" si="30"/>
        <v>2400</v>
      </c>
      <c r="E92" s="2">
        <f t="shared" si="31"/>
        <v>19200</v>
      </c>
      <c r="F92" s="2">
        <f t="shared" si="32"/>
        <v>5.333333333333333</v>
      </c>
      <c r="G92">
        <v>960</v>
      </c>
      <c r="H92">
        <v>960</v>
      </c>
      <c r="I92" s="2">
        <f t="shared" si="33"/>
        <v>1920</v>
      </c>
      <c r="J92" s="2">
        <f t="shared" si="34"/>
        <v>15360</v>
      </c>
      <c r="K92" s="2">
        <f t="shared" si="35"/>
        <v>4.2666666666666666</v>
      </c>
      <c r="L92">
        <v>1120</v>
      </c>
      <c r="M92">
        <v>1120</v>
      </c>
      <c r="N92" s="2">
        <f t="shared" si="36"/>
        <v>2240</v>
      </c>
      <c r="O92" s="2">
        <f t="shared" si="37"/>
        <v>17920</v>
      </c>
      <c r="P92" s="2">
        <f t="shared" si="38"/>
        <v>4.9777777777777779</v>
      </c>
      <c r="Q92">
        <v>1040</v>
      </c>
      <c r="R92">
        <v>1040</v>
      </c>
      <c r="S92" s="2">
        <f t="shared" si="39"/>
        <v>2080</v>
      </c>
      <c r="T92" s="2">
        <f t="shared" si="40"/>
        <v>16640</v>
      </c>
      <c r="U92" s="2">
        <f t="shared" si="41"/>
        <v>4.6222222222222218</v>
      </c>
      <c r="V92">
        <v>1040</v>
      </c>
      <c r="W92">
        <v>1040</v>
      </c>
      <c r="X92" s="2">
        <f t="shared" si="42"/>
        <v>2080</v>
      </c>
      <c r="Y92" s="2">
        <f t="shared" si="43"/>
        <v>16640</v>
      </c>
      <c r="Z92" s="2">
        <f t="shared" si="44"/>
        <v>4.6222222222222218</v>
      </c>
      <c r="AA92">
        <v>1120</v>
      </c>
      <c r="AB92">
        <v>1120</v>
      </c>
      <c r="AC92" s="2">
        <f t="shared" si="45"/>
        <v>2240</v>
      </c>
      <c r="AD92" s="2">
        <f t="shared" si="46"/>
        <v>17920</v>
      </c>
      <c r="AE92" s="2">
        <f t="shared" si="47"/>
        <v>4.9777777777777779</v>
      </c>
      <c r="AF92">
        <v>880</v>
      </c>
      <c r="AG92">
        <v>880</v>
      </c>
      <c r="AH92" s="2">
        <f t="shared" si="48"/>
        <v>1760</v>
      </c>
      <c r="AI92" s="2">
        <f t="shared" si="49"/>
        <v>14080</v>
      </c>
      <c r="AJ92" s="2">
        <f t="shared" si="50"/>
        <v>3.911111111111111</v>
      </c>
      <c r="AK92">
        <v>960</v>
      </c>
      <c r="AL92">
        <v>960</v>
      </c>
      <c r="AM92" s="2">
        <f t="shared" si="51"/>
        <v>1920</v>
      </c>
      <c r="AN92" s="2">
        <f t="shared" si="52"/>
        <v>15360</v>
      </c>
      <c r="AO92" s="2">
        <f t="shared" si="53"/>
        <v>4.2666666666666666</v>
      </c>
      <c r="AP92">
        <v>1040</v>
      </c>
      <c r="AQ92">
        <v>1040</v>
      </c>
      <c r="AR92" s="2">
        <f t="shared" si="54"/>
        <v>2080</v>
      </c>
      <c r="AS92" s="2">
        <f t="shared" si="55"/>
        <v>16640</v>
      </c>
      <c r="AT92" s="2">
        <f t="shared" si="56"/>
        <v>4.6222222222222218</v>
      </c>
      <c r="AU92">
        <v>1120</v>
      </c>
      <c r="AV92">
        <v>1120</v>
      </c>
      <c r="AW92" s="2">
        <f t="shared" si="57"/>
        <v>2240</v>
      </c>
      <c r="AX92" s="2">
        <f t="shared" si="58"/>
        <v>17920</v>
      </c>
      <c r="AY92" s="2">
        <f t="shared" si="59"/>
        <v>4.9777777777777779</v>
      </c>
    </row>
    <row r="93" spans="1:51" x14ac:dyDescent="0.3">
      <c r="A93" s="2" t="s">
        <v>97</v>
      </c>
      <c r="B93">
        <v>1040</v>
      </c>
      <c r="C93">
        <v>1040</v>
      </c>
      <c r="D93" s="2">
        <f t="shared" si="30"/>
        <v>2080</v>
      </c>
      <c r="E93" s="2">
        <f t="shared" si="31"/>
        <v>16640</v>
      </c>
      <c r="F93" s="2">
        <f t="shared" si="32"/>
        <v>4.6222222222222218</v>
      </c>
      <c r="G93">
        <v>1120</v>
      </c>
      <c r="H93">
        <v>1120</v>
      </c>
      <c r="I93" s="2">
        <f t="shared" si="33"/>
        <v>2240</v>
      </c>
      <c r="J93" s="2">
        <f t="shared" si="34"/>
        <v>17920</v>
      </c>
      <c r="K93" s="2">
        <f t="shared" si="35"/>
        <v>4.9777777777777779</v>
      </c>
      <c r="L93">
        <v>1040</v>
      </c>
      <c r="M93">
        <v>1040</v>
      </c>
      <c r="N93" s="2">
        <f t="shared" si="36"/>
        <v>2080</v>
      </c>
      <c r="O93" s="2">
        <f t="shared" si="37"/>
        <v>16640</v>
      </c>
      <c r="P93" s="2">
        <f t="shared" si="38"/>
        <v>4.6222222222222218</v>
      </c>
      <c r="Q93">
        <v>960</v>
      </c>
      <c r="R93">
        <v>960</v>
      </c>
      <c r="S93" s="2">
        <f t="shared" si="39"/>
        <v>1920</v>
      </c>
      <c r="T93" s="2">
        <f t="shared" si="40"/>
        <v>15360</v>
      </c>
      <c r="U93" s="2">
        <f t="shared" si="41"/>
        <v>4.2666666666666666</v>
      </c>
      <c r="V93">
        <v>1040</v>
      </c>
      <c r="W93">
        <v>1040</v>
      </c>
      <c r="X93" s="2">
        <f t="shared" si="42"/>
        <v>2080</v>
      </c>
      <c r="Y93" s="2">
        <f t="shared" si="43"/>
        <v>16640</v>
      </c>
      <c r="Z93" s="2">
        <f t="shared" si="44"/>
        <v>4.6222222222222218</v>
      </c>
      <c r="AA93">
        <v>1040</v>
      </c>
      <c r="AB93">
        <v>1040</v>
      </c>
      <c r="AC93" s="2">
        <f t="shared" si="45"/>
        <v>2080</v>
      </c>
      <c r="AD93" s="2">
        <f t="shared" si="46"/>
        <v>16640</v>
      </c>
      <c r="AE93" s="2">
        <f t="shared" si="47"/>
        <v>4.6222222222222218</v>
      </c>
      <c r="AF93">
        <v>1040</v>
      </c>
      <c r="AG93">
        <v>1040</v>
      </c>
      <c r="AH93" s="2">
        <f t="shared" si="48"/>
        <v>2080</v>
      </c>
      <c r="AI93" s="2">
        <f t="shared" si="49"/>
        <v>16640</v>
      </c>
      <c r="AJ93" s="2">
        <f t="shared" si="50"/>
        <v>4.6222222222222218</v>
      </c>
      <c r="AK93">
        <v>1040</v>
      </c>
      <c r="AL93">
        <v>1040</v>
      </c>
      <c r="AM93" s="2">
        <f t="shared" si="51"/>
        <v>2080</v>
      </c>
      <c r="AN93" s="2">
        <f t="shared" si="52"/>
        <v>16640</v>
      </c>
      <c r="AO93" s="2">
        <f t="shared" si="53"/>
        <v>4.6222222222222218</v>
      </c>
      <c r="AP93">
        <v>880</v>
      </c>
      <c r="AQ93">
        <v>880</v>
      </c>
      <c r="AR93" s="2">
        <f t="shared" si="54"/>
        <v>1760</v>
      </c>
      <c r="AS93" s="2">
        <f t="shared" si="55"/>
        <v>14080</v>
      </c>
      <c r="AT93" s="2">
        <f t="shared" si="56"/>
        <v>3.911111111111111</v>
      </c>
      <c r="AU93">
        <v>1120</v>
      </c>
      <c r="AV93">
        <v>1120</v>
      </c>
      <c r="AW93" s="2">
        <f t="shared" si="57"/>
        <v>2240</v>
      </c>
      <c r="AX93" s="2">
        <f t="shared" si="58"/>
        <v>17920</v>
      </c>
      <c r="AY93" s="2">
        <f t="shared" si="59"/>
        <v>4.9777777777777779</v>
      </c>
    </row>
    <row r="94" spans="1:51" x14ac:dyDescent="0.3">
      <c r="A94" s="2" t="s">
        <v>98</v>
      </c>
      <c r="B94">
        <v>880</v>
      </c>
      <c r="C94">
        <v>880</v>
      </c>
      <c r="D94" s="2">
        <f t="shared" si="30"/>
        <v>1760</v>
      </c>
      <c r="E94" s="2">
        <f t="shared" si="31"/>
        <v>14080</v>
      </c>
      <c r="F94" s="2">
        <f t="shared" si="32"/>
        <v>3.911111111111111</v>
      </c>
      <c r="G94">
        <v>1200</v>
      </c>
      <c r="H94">
        <v>1200</v>
      </c>
      <c r="I94" s="2">
        <f t="shared" si="33"/>
        <v>2400</v>
      </c>
      <c r="J94" s="2">
        <f t="shared" si="34"/>
        <v>19200</v>
      </c>
      <c r="K94" s="2">
        <f t="shared" si="35"/>
        <v>5.333333333333333</v>
      </c>
      <c r="L94">
        <v>1280</v>
      </c>
      <c r="M94">
        <v>1280</v>
      </c>
      <c r="N94" s="2">
        <f t="shared" si="36"/>
        <v>2560</v>
      </c>
      <c r="O94" s="2">
        <f t="shared" si="37"/>
        <v>20480</v>
      </c>
      <c r="P94" s="2">
        <f t="shared" si="38"/>
        <v>5.6888888888888891</v>
      </c>
      <c r="Q94">
        <v>1040</v>
      </c>
      <c r="R94">
        <v>1040</v>
      </c>
      <c r="S94" s="2">
        <f t="shared" si="39"/>
        <v>2080</v>
      </c>
      <c r="T94" s="2">
        <f t="shared" si="40"/>
        <v>16640</v>
      </c>
      <c r="U94" s="2">
        <f t="shared" si="41"/>
        <v>4.6222222222222218</v>
      </c>
      <c r="V94">
        <v>1120</v>
      </c>
      <c r="W94">
        <v>1120</v>
      </c>
      <c r="X94" s="2">
        <f t="shared" si="42"/>
        <v>2240</v>
      </c>
      <c r="Y94" s="2">
        <f t="shared" si="43"/>
        <v>17920</v>
      </c>
      <c r="Z94" s="2">
        <f t="shared" si="44"/>
        <v>4.9777777777777779</v>
      </c>
      <c r="AA94">
        <v>1120</v>
      </c>
      <c r="AB94">
        <v>1120</v>
      </c>
      <c r="AC94" s="2">
        <f t="shared" si="45"/>
        <v>2240</v>
      </c>
      <c r="AD94" s="2">
        <f t="shared" si="46"/>
        <v>17920</v>
      </c>
      <c r="AE94" s="2">
        <f t="shared" si="47"/>
        <v>4.9777777777777779</v>
      </c>
      <c r="AF94">
        <v>1120</v>
      </c>
      <c r="AG94">
        <v>1120</v>
      </c>
      <c r="AH94" s="2">
        <f t="shared" si="48"/>
        <v>2240</v>
      </c>
      <c r="AI94" s="2">
        <f t="shared" si="49"/>
        <v>17920</v>
      </c>
      <c r="AJ94" s="2">
        <f t="shared" si="50"/>
        <v>4.9777777777777779</v>
      </c>
      <c r="AK94">
        <v>1200</v>
      </c>
      <c r="AL94">
        <v>1200</v>
      </c>
      <c r="AM94" s="2">
        <f t="shared" si="51"/>
        <v>2400</v>
      </c>
      <c r="AN94" s="2">
        <f t="shared" si="52"/>
        <v>19200</v>
      </c>
      <c r="AO94" s="2">
        <f t="shared" si="53"/>
        <v>5.333333333333333</v>
      </c>
      <c r="AP94">
        <v>1040</v>
      </c>
      <c r="AQ94">
        <v>1040</v>
      </c>
      <c r="AR94" s="2">
        <f t="shared" si="54"/>
        <v>2080</v>
      </c>
      <c r="AS94" s="2">
        <f t="shared" si="55"/>
        <v>16640</v>
      </c>
      <c r="AT94" s="2">
        <f t="shared" si="56"/>
        <v>4.6222222222222218</v>
      </c>
      <c r="AU94">
        <v>1280</v>
      </c>
      <c r="AV94">
        <v>1280</v>
      </c>
      <c r="AW94" s="2">
        <f t="shared" si="57"/>
        <v>2560</v>
      </c>
      <c r="AX94" s="2">
        <f t="shared" si="58"/>
        <v>20480</v>
      </c>
      <c r="AY94" s="2">
        <f t="shared" si="59"/>
        <v>5.6888888888888891</v>
      </c>
    </row>
    <row r="95" spans="1:51" x14ac:dyDescent="0.3">
      <c r="A95" s="2" t="s">
        <v>99</v>
      </c>
      <c r="B95">
        <v>960</v>
      </c>
      <c r="C95">
        <v>960</v>
      </c>
      <c r="D95" s="2">
        <f t="shared" si="30"/>
        <v>1920</v>
      </c>
      <c r="E95" s="2">
        <f t="shared" si="31"/>
        <v>15360</v>
      </c>
      <c r="F95" s="2">
        <f t="shared" si="32"/>
        <v>4.2666666666666666</v>
      </c>
      <c r="G95">
        <v>1200</v>
      </c>
      <c r="H95">
        <v>1200</v>
      </c>
      <c r="I95" s="2">
        <f t="shared" si="33"/>
        <v>2400</v>
      </c>
      <c r="J95" s="2">
        <f t="shared" si="34"/>
        <v>19200</v>
      </c>
      <c r="K95" s="2">
        <f t="shared" si="35"/>
        <v>5.333333333333333</v>
      </c>
      <c r="L95">
        <v>1280</v>
      </c>
      <c r="M95">
        <v>1280</v>
      </c>
      <c r="N95" s="2">
        <f t="shared" si="36"/>
        <v>2560</v>
      </c>
      <c r="O95" s="2">
        <f t="shared" si="37"/>
        <v>20480</v>
      </c>
      <c r="P95" s="2">
        <f t="shared" si="38"/>
        <v>5.6888888888888891</v>
      </c>
      <c r="Q95">
        <v>1040</v>
      </c>
      <c r="R95">
        <v>1040</v>
      </c>
      <c r="S95" s="2">
        <f t="shared" si="39"/>
        <v>2080</v>
      </c>
      <c r="T95" s="2">
        <f t="shared" si="40"/>
        <v>16640</v>
      </c>
      <c r="U95" s="2">
        <f t="shared" si="41"/>
        <v>4.6222222222222218</v>
      </c>
      <c r="V95">
        <v>1200</v>
      </c>
      <c r="W95">
        <v>1200</v>
      </c>
      <c r="X95" s="2">
        <f t="shared" si="42"/>
        <v>2400</v>
      </c>
      <c r="Y95" s="2">
        <f t="shared" si="43"/>
        <v>19200</v>
      </c>
      <c r="Z95" s="2">
        <f t="shared" si="44"/>
        <v>5.333333333333333</v>
      </c>
      <c r="AA95">
        <v>1040</v>
      </c>
      <c r="AB95">
        <v>1040</v>
      </c>
      <c r="AC95" s="2">
        <f t="shared" si="45"/>
        <v>2080</v>
      </c>
      <c r="AD95" s="2">
        <f t="shared" si="46"/>
        <v>16640</v>
      </c>
      <c r="AE95" s="2">
        <f t="shared" si="47"/>
        <v>4.6222222222222218</v>
      </c>
      <c r="AF95">
        <v>880</v>
      </c>
      <c r="AG95">
        <v>880</v>
      </c>
      <c r="AH95" s="2">
        <f t="shared" si="48"/>
        <v>1760</v>
      </c>
      <c r="AI95" s="2">
        <f t="shared" si="49"/>
        <v>14080</v>
      </c>
      <c r="AJ95" s="2">
        <f t="shared" si="50"/>
        <v>3.911111111111111</v>
      </c>
      <c r="AK95">
        <v>1120</v>
      </c>
      <c r="AL95">
        <v>1120</v>
      </c>
      <c r="AM95" s="2">
        <f t="shared" si="51"/>
        <v>2240</v>
      </c>
      <c r="AN95" s="2">
        <f t="shared" si="52"/>
        <v>17920</v>
      </c>
      <c r="AO95" s="2">
        <f t="shared" si="53"/>
        <v>4.9777777777777779</v>
      </c>
      <c r="AP95">
        <v>880</v>
      </c>
      <c r="AQ95">
        <v>880</v>
      </c>
      <c r="AR95" s="2">
        <f t="shared" si="54"/>
        <v>1760</v>
      </c>
      <c r="AS95" s="2">
        <f t="shared" si="55"/>
        <v>14080</v>
      </c>
      <c r="AT95" s="2">
        <f t="shared" si="56"/>
        <v>3.911111111111111</v>
      </c>
      <c r="AU95">
        <v>1120</v>
      </c>
      <c r="AV95">
        <v>1120</v>
      </c>
      <c r="AW95" s="2">
        <f t="shared" si="57"/>
        <v>2240</v>
      </c>
      <c r="AX95" s="2">
        <f t="shared" si="58"/>
        <v>17920</v>
      </c>
      <c r="AY95" s="2">
        <f t="shared" si="59"/>
        <v>4.9777777777777779</v>
      </c>
    </row>
    <row r="96" spans="1:51" x14ac:dyDescent="0.3">
      <c r="A96" s="2" t="s">
        <v>100</v>
      </c>
      <c r="B96">
        <v>1040</v>
      </c>
      <c r="C96">
        <v>1040</v>
      </c>
      <c r="D96" s="2">
        <f t="shared" si="30"/>
        <v>2080</v>
      </c>
      <c r="E96" s="2">
        <f t="shared" si="31"/>
        <v>16640</v>
      </c>
      <c r="F96" s="2">
        <f t="shared" si="32"/>
        <v>4.6222222222222218</v>
      </c>
      <c r="G96">
        <v>1040</v>
      </c>
      <c r="H96">
        <v>1040</v>
      </c>
      <c r="I96" s="2">
        <f t="shared" si="33"/>
        <v>2080</v>
      </c>
      <c r="J96" s="2">
        <f t="shared" si="34"/>
        <v>16640</v>
      </c>
      <c r="K96" s="2">
        <f t="shared" si="35"/>
        <v>4.6222222222222218</v>
      </c>
      <c r="L96">
        <v>1040</v>
      </c>
      <c r="M96">
        <v>1040</v>
      </c>
      <c r="N96" s="2">
        <f t="shared" si="36"/>
        <v>2080</v>
      </c>
      <c r="O96" s="2">
        <f t="shared" si="37"/>
        <v>16640</v>
      </c>
      <c r="P96" s="2">
        <f t="shared" si="38"/>
        <v>4.6222222222222218</v>
      </c>
      <c r="Q96">
        <v>1120</v>
      </c>
      <c r="R96">
        <v>1120</v>
      </c>
      <c r="S96" s="2">
        <f t="shared" si="39"/>
        <v>2240</v>
      </c>
      <c r="T96" s="2">
        <f t="shared" si="40"/>
        <v>17920</v>
      </c>
      <c r="U96" s="2">
        <f t="shared" si="41"/>
        <v>4.9777777777777779</v>
      </c>
      <c r="V96">
        <v>1120</v>
      </c>
      <c r="W96">
        <v>1120</v>
      </c>
      <c r="X96" s="2">
        <f t="shared" si="42"/>
        <v>2240</v>
      </c>
      <c r="Y96" s="2">
        <f t="shared" si="43"/>
        <v>17920</v>
      </c>
      <c r="Z96" s="2">
        <f t="shared" si="44"/>
        <v>4.9777777777777779</v>
      </c>
      <c r="AA96">
        <v>1040</v>
      </c>
      <c r="AB96">
        <v>1040</v>
      </c>
      <c r="AC96" s="2">
        <f t="shared" si="45"/>
        <v>2080</v>
      </c>
      <c r="AD96" s="2">
        <f t="shared" si="46"/>
        <v>16640</v>
      </c>
      <c r="AE96" s="2">
        <f t="shared" si="47"/>
        <v>4.6222222222222218</v>
      </c>
      <c r="AF96">
        <v>1040</v>
      </c>
      <c r="AG96">
        <v>1040</v>
      </c>
      <c r="AH96" s="2">
        <f t="shared" si="48"/>
        <v>2080</v>
      </c>
      <c r="AI96" s="2">
        <f t="shared" si="49"/>
        <v>16640</v>
      </c>
      <c r="AJ96" s="2">
        <f t="shared" si="50"/>
        <v>4.6222222222222218</v>
      </c>
      <c r="AK96">
        <v>960</v>
      </c>
      <c r="AL96">
        <v>960</v>
      </c>
      <c r="AM96" s="2">
        <f t="shared" si="51"/>
        <v>1920</v>
      </c>
      <c r="AN96" s="2">
        <f t="shared" si="52"/>
        <v>15360</v>
      </c>
      <c r="AO96" s="2">
        <f t="shared" si="53"/>
        <v>4.2666666666666666</v>
      </c>
      <c r="AP96">
        <v>1040</v>
      </c>
      <c r="AQ96">
        <v>1040</v>
      </c>
      <c r="AR96" s="2">
        <f t="shared" si="54"/>
        <v>2080</v>
      </c>
      <c r="AS96" s="2">
        <f t="shared" si="55"/>
        <v>16640</v>
      </c>
      <c r="AT96" s="2">
        <f t="shared" si="56"/>
        <v>4.6222222222222218</v>
      </c>
      <c r="AU96">
        <v>1040</v>
      </c>
      <c r="AV96">
        <v>1040</v>
      </c>
      <c r="AW96" s="2">
        <f t="shared" si="57"/>
        <v>2080</v>
      </c>
      <c r="AX96" s="2">
        <f t="shared" si="58"/>
        <v>16640</v>
      </c>
      <c r="AY96" s="2">
        <f t="shared" si="59"/>
        <v>4.6222222222222218</v>
      </c>
    </row>
    <row r="97" spans="1:51" x14ac:dyDescent="0.3">
      <c r="A97" s="2" t="s">
        <v>101</v>
      </c>
      <c r="B97">
        <v>960</v>
      </c>
      <c r="C97">
        <v>960</v>
      </c>
      <c r="D97" s="2">
        <f t="shared" si="30"/>
        <v>1920</v>
      </c>
      <c r="E97" s="2">
        <f t="shared" si="31"/>
        <v>15360</v>
      </c>
      <c r="F97" s="2">
        <f t="shared" si="32"/>
        <v>4.2666666666666666</v>
      </c>
      <c r="G97">
        <v>1040</v>
      </c>
      <c r="H97">
        <v>1040</v>
      </c>
      <c r="I97" s="2">
        <f t="shared" si="33"/>
        <v>2080</v>
      </c>
      <c r="J97" s="2">
        <f t="shared" si="34"/>
        <v>16640</v>
      </c>
      <c r="K97" s="2">
        <f t="shared" si="35"/>
        <v>4.6222222222222218</v>
      </c>
      <c r="L97">
        <v>960</v>
      </c>
      <c r="M97">
        <v>960</v>
      </c>
      <c r="N97" s="2">
        <f t="shared" si="36"/>
        <v>1920</v>
      </c>
      <c r="O97" s="2">
        <f t="shared" si="37"/>
        <v>15360</v>
      </c>
      <c r="P97" s="2">
        <f t="shared" si="38"/>
        <v>4.2666666666666666</v>
      </c>
      <c r="Q97">
        <v>1040</v>
      </c>
      <c r="R97">
        <v>1040</v>
      </c>
      <c r="S97" s="2">
        <f t="shared" si="39"/>
        <v>2080</v>
      </c>
      <c r="T97" s="2">
        <f t="shared" si="40"/>
        <v>16640</v>
      </c>
      <c r="U97" s="2">
        <f t="shared" si="41"/>
        <v>4.6222222222222218</v>
      </c>
      <c r="V97">
        <v>1040</v>
      </c>
      <c r="W97">
        <v>1040</v>
      </c>
      <c r="X97" s="2">
        <f t="shared" si="42"/>
        <v>2080</v>
      </c>
      <c r="Y97" s="2">
        <f t="shared" si="43"/>
        <v>16640</v>
      </c>
      <c r="Z97" s="2">
        <f t="shared" si="44"/>
        <v>4.6222222222222218</v>
      </c>
      <c r="AA97">
        <v>960</v>
      </c>
      <c r="AB97">
        <v>960</v>
      </c>
      <c r="AC97" s="2">
        <f t="shared" si="45"/>
        <v>1920</v>
      </c>
      <c r="AD97" s="2">
        <f t="shared" si="46"/>
        <v>15360</v>
      </c>
      <c r="AE97" s="2">
        <f t="shared" si="47"/>
        <v>4.2666666666666666</v>
      </c>
      <c r="AF97">
        <v>960</v>
      </c>
      <c r="AG97">
        <v>960</v>
      </c>
      <c r="AH97" s="2">
        <f t="shared" si="48"/>
        <v>1920</v>
      </c>
      <c r="AI97" s="2">
        <f t="shared" si="49"/>
        <v>15360</v>
      </c>
      <c r="AJ97" s="2">
        <f t="shared" si="50"/>
        <v>4.2666666666666666</v>
      </c>
      <c r="AK97">
        <v>880</v>
      </c>
      <c r="AL97">
        <v>880</v>
      </c>
      <c r="AM97" s="2">
        <f t="shared" si="51"/>
        <v>1760</v>
      </c>
      <c r="AN97" s="2">
        <f t="shared" si="52"/>
        <v>14080</v>
      </c>
      <c r="AO97" s="2">
        <f t="shared" si="53"/>
        <v>3.911111111111111</v>
      </c>
      <c r="AP97">
        <v>1040</v>
      </c>
      <c r="AQ97">
        <v>1040</v>
      </c>
      <c r="AR97" s="2">
        <f t="shared" si="54"/>
        <v>2080</v>
      </c>
      <c r="AS97" s="2">
        <f t="shared" si="55"/>
        <v>16640</v>
      </c>
      <c r="AT97" s="2">
        <f t="shared" si="56"/>
        <v>4.6222222222222218</v>
      </c>
      <c r="AU97">
        <v>1120</v>
      </c>
      <c r="AV97">
        <v>1120</v>
      </c>
      <c r="AW97" s="2">
        <f t="shared" si="57"/>
        <v>2240</v>
      </c>
      <c r="AX97" s="2">
        <f t="shared" si="58"/>
        <v>17920</v>
      </c>
      <c r="AY97" s="2">
        <f t="shared" si="59"/>
        <v>4.9777777777777779</v>
      </c>
    </row>
    <row r="98" spans="1:51" x14ac:dyDescent="0.3">
      <c r="A98" s="2" t="s">
        <v>102</v>
      </c>
      <c r="B98">
        <v>1200</v>
      </c>
      <c r="C98">
        <v>1200</v>
      </c>
      <c r="D98" s="2">
        <f t="shared" si="30"/>
        <v>2400</v>
      </c>
      <c r="E98" s="2">
        <f t="shared" si="31"/>
        <v>19200</v>
      </c>
      <c r="F98" s="2">
        <f t="shared" si="32"/>
        <v>5.333333333333333</v>
      </c>
      <c r="G98">
        <v>1040</v>
      </c>
      <c r="H98">
        <v>1040</v>
      </c>
      <c r="I98" s="2">
        <f t="shared" si="33"/>
        <v>2080</v>
      </c>
      <c r="J98" s="2">
        <f t="shared" si="34"/>
        <v>16640</v>
      </c>
      <c r="K98" s="2">
        <f t="shared" si="35"/>
        <v>4.6222222222222218</v>
      </c>
      <c r="L98">
        <v>880</v>
      </c>
      <c r="M98">
        <v>880</v>
      </c>
      <c r="N98" s="2">
        <f t="shared" si="36"/>
        <v>1760</v>
      </c>
      <c r="O98" s="2">
        <f t="shared" si="37"/>
        <v>14080</v>
      </c>
      <c r="P98" s="2">
        <f t="shared" si="38"/>
        <v>3.911111111111111</v>
      </c>
      <c r="Q98">
        <v>880</v>
      </c>
      <c r="R98">
        <v>880</v>
      </c>
      <c r="S98" s="2">
        <f t="shared" si="39"/>
        <v>1760</v>
      </c>
      <c r="T98" s="2">
        <f t="shared" si="40"/>
        <v>14080</v>
      </c>
      <c r="U98" s="2">
        <f t="shared" si="41"/>
        <v>3.911111111111111</v>
      </c>
      <c r="V98">
        <v>1120</v>
      </c>
      <c r="W98">
        <v>1120</v>
      </c>
      <c r="X98" s="2">
        <f t="shared" si="42"/>
        <v>2240</v>
      </c>
      <c r="Y98" s="2">
        <f t="shared" si="43"/>
        <v>17920</v>
      </c>
      <c r="Z98" s="2">
        <f t="shared" si="44"/>
        <v>4.9777777777777779</v>
      </c>
      <c r="AA98">
        <v>1040</v>
      </c>
      <c r="AB98">
        <v>1040</v>
      </c>
      <c r="AC98" s="2">
        <f t="shared" si="45"/>
        <v>2080</v>
      </c>
      <c r="AD98" s="2">
        <f t="shared" si="46"/>
        <v>16640</v>
      </c>
      <c r="AE98" s="2">
        <f t="shared" si="47"/>
        <v>4.6222222222222218</v>
      </c>
      <c r="AF98">
        <v>1120</v>
      </c>
      <c r="AG98">
        <v>1120</v>
      </c>
      <c r="AH98" s="2">
        <f t="shared" si="48"/>
        <v>2240</v>
      </c>
      <c r="AI98" s="2">
        <f t="shared" si="49"/>
        <v>17920</v>
      </c>
      <c r="AJ98" s="2">
        <f t="shared" si="50"/>
        <v>4.9777777777777779</v>
      </c>
      <c r="AK98">
        <v>1040</v>
      </c>
      <c r="AL98">
        <v>1040</v>
      </c>
      <c r="AM98" s="2">
        <f t="shared" si="51"/>
        <v>2080</v>
      </c>
      <c r="AN98" s="2">
        <f t="shared" si="52"/>
        <v>16640</v>
      </c>
      <c r="AO98" s="2">
        <f t="shared" si="53"/>
        <v>4.6222222222222218</v>
      </c>
      <c r="AP98">
        <v>880</v>
      </c>
      <c r="AQ98">
        <v>880</v>
      </c>
      <c r="AR98" s="2">
        <f t="shared" si="54"/>
        <v>1760</v>
      </c>
      <c r="AS98" s="2">
        <f t="shared" si="55"/>
        <v>14080</v>
      </c>
      <c r="AT98" s="2">
        <f t="shared" si="56"/>
        <v>3.911111111111111</v>
      </c>
      <c r="AU98">
        <v>960</v>
      </c>
      <c r="AV98">
        <v>960</v>
      </c>
      <c r="AW98" s="2">
        <f t="shared" si="57"/>
        <v>1920</v>
      </c>
      <c r="AX98" s="2">
        <f t="shared" si="58"/>
        <v>15360</v>
      </c>
      <c r="AY98" s="2">
        <f t="shared" si="59"/>
        <v>4.2666666666666666</v>
      </c>
    </row>
    <row r="99" spans="1:51" x14ac:dyDescent="0.3">
      <c r="A99" s="2" t="s">
        <v>103</v>
      </c>
      <c r="B99">
        <v>1120</v>
      </c>
      <c r="C99">
        <v>1120</v>
      </c>
      <c r="D99" s="2">
        <f t="shared" si="30"/>
        <v>2240</v>
      </c>
      <c r="E99" s="2">
        <f t="shared" si="31"/>
        <v>17920</v>
      </c>
      <c r="F99" s="2">
        <f t="shared" si="32"/>
        <v>4.9777777777777779</v>
      </c>
      <c r="G99">
        <v>1200</v>
      </c>
      <c r="H99">
        <v>1200</v>
      </c>
      <c r="I99" s="2">
        <f t="shared" si="33"/>
        <v>2400</v>
      </c>
      <c r="J99" s="2">
        <f t="shared" si="34"/>
        <v>19200</v>
      </c>
      <c r="K99" s="2">
        <f t="shared" si="35"/>
        <v>5.333333333333333</v>
      </c>
      <c r="L99">
        <v>1040</v>
      </c>
      <c r="M99">
        <v>1040</v>
      </c>
      <c r="N99" s="2">
        <f t="shared" si="36"/>
        <v>2080</v>
      </c>
      <c r="O99" s="2">
        <f t="shared" si="37"/>
        <v>16640</v>
      </c>
      <c r="P99" s="2">
        <f t="shared" si="38"/>
        <v>4.6222222222222218</v>
      </c>
      <c r="Q99">
        <v>1200</v>
      </c>
      <c r="R99">
        <v>1200</v>
      </c>
      <c r="S99" s="2">
        <f t="shared" si="39"/>
        <v>2400</v>
      </c>
      <c r="T99" s="2">
        <f t="shared" si="40"/>
        <v>19200</v>
      </c>
      <c r="U99" s="2">
        <f t="shared" si="41"/>
        <v>5.333333333333333</v>
      </c>
      <c r="V99">
        <v>1280</v>
      </c>
      <c r="W99">
        <v>1280</v>
      </c>
      <c r="X99" s="2">
        <f t="shared" si="42"/>
        <v>2560</v>
      </c>
      <c r="Y99" s="2">
        <f t="shared" si="43"/>
        <v>20480</v>
      </c>
      <c r="Z99" s="2">
        <f t="shared" si="44"/>
        <v>5.6888888888888891</v>
      </c>
      <c r="AA99">
        <v>1120</v>
      </c>
      <c r="AB99">
        <v>1120</v>
      </c>
      <c r="AC99" s="2">
        <f t="shared" si="45"/>
        <v>2240</v>
      </c>
      <c r="AD99" s="2">
        <f t="shared" si="46"/>
        <v>17920</v>
      </c>
      <c r="AE99" s="2">
        <f t="shared" si="47"/>
        <v>4.9777777777777779</v>
      </c>
      <c r="AF99">
        <v>1120</v>
      </c>
      <c r="AG99">
        <v>1120</v>
      </c>
      <c r="AH99" s="2">
        <f t="shared" si="48"/>
        <v>2240</v>
      </c>
      <c r="AI99" s="2">
        <f t="shared" si="49"/>
        <v>17920</v>
      </c>
      <c r="AJ99" s="2">
        <f t="shared" si="50"/>
        <v>4.9777777777777779</v>
      </c>
      <c r="AK99">
        <v>1040</v>
      </c>
      <c r="AL99">
        <v>1040</v>
      </c>
      <c r="AM99" s="2">
        <f t="shared" si="51"/>
        <v>2080</v>
      </c>
      <c r="AN99" s="2">
        <f t="shared" si="52"/>
        <v>16640</v>
      </c>
      <c r="AO99" s="2">
        <f t="shared" si="53"/>
        <v>4.6222222222222218</v>
      </c>
      <c r="AP99">
        <v>1200</v>
      </c>
      <c r="AQ99">
        <v>1200</v>
      </c>
      <c r="AR99" s="2">
        <f t="shared" si="54"/>
        <v>2400</v>
      </c>
      <c r="AS99" s="2">
        <f t="shared" si="55"/>
        <v>19200</v>
      </c>
      <c r="AT99" s="2">
        <f t="shared" si="56"/>
        <v>5.333333333333333</v>
      </c>
      <c r="AU99">
        <v>960</v>
      </c>
      <c r="AV99">
        <v>960</v>
      </c>
      <c r="AW99" s="2">
        <f t="shared" si="57"/>
        <v>1920</v>
      </c>
      <c r="AX99" s="2">
        <f t="shared" si="58"/>
        <v>15360</v>
      </c>
      <c r="AY99" s="2">
        <f t="shared" si="59"/>
        <v>4.2666666666666666</v>
      </c>
    </row>
    <row r="100" spans="1:51" x14ac:dyDescent="0.3">
      <c r="A100" s="2" t="s">
        <v>104</v>
      </c>
      <c r="B100">
        <v>1200</v>
      </c>
      <c r="C100">
        <v>1200</v>
      </c>
      <c r="D100" s="2">
        <f t="shared" si="30"/>
        <v>2400</v>
      </c>
      <c r="E100" s="2">
        <f t="shared" si="31"/>
        <v>19200</v>
      </c>
      <c r="F100" s="2">
        <f t="shared" si="32"/>
        <v>5.333333333333333</v>
      </c>
      <c r="G100">
        <v>1120</v>
      </c>
      <c r="H100">
        <v>1120</v>
      </c>
      <c r="I100" s="2">
        <f t="shared" si="33"/>
        <v>2240</v>
      </c>
      <c r="J100" s="2">
        <f t="shared" si="34"/>
        <v>17920</v>
      </c>
      <c r="K100" s="2">
        <f t="shared" si="35"/>
        <v>4.9777777777777779</v>
      </c>
      <c r="L100">
        <v>960</v>
      </c>
      <c r="M100">
        <v>960</v>
      </c>
      <c r="N100" s="2">
        <f t="shared" si="36"/>
        <v>1920</v>
      </c>
      <c r="O100" s="2">
        <f t="shared" si="37"/>
        <v>15360</v>
      </c>
      <c r="P100" s="2">
        <f t="shared" si="38"/>
        <v>4.2666666666666666</v>
      </c>
      <c r="Q100">
        <v>1040</v>
      </c>
      <c r="R100">
        <v>1040</v>
      </c>
      <c r="S100" s="2">
        <f t="shared" si="39"/>
        <v>2080</v>
      </c>
      <c r="T100" s="2">
        <f t="shared" si="40"/>
        <v>16640</v>
      </c>
      <c r="U100" s="2">
        <f t="shared" si="41"/>
        <v>4.6222222222222218</v>
      </c>
      <c r="V100">
        <v>1200</v>
      </c>
      <c r="W100">
        <v>1200</v>
      </c>
      <c r="X100" s="2">
        <f t="shared" si="42"/>
        <v>2400</v>
      </c>
      <c r="Y100" s="2">
        <f t="shared" si="43"/>
        <v>19200</v>
      </c>
      <c r="Z100" s="2">
        <f t="shared" si="44"/>
        <v>5.333333333333333</v>
      </c>
      <c r="AA100">
        <v>1200</v>
      </c>
      <c r="AB100">
        <v>1200</v>
      </c>
      <c r="AC100" s="2">
        <f t="shared" si="45"/>
        <v>2400</v>
      </c>
      <c r="AD100" s="2">
        <f t="shared" si="46"/>
        <v>19200</v>
      </c>
      <c r="AE100" s="2">
        <f t="shared" si="47"/>
        <v>5.333333333333333</v>
      </c>
      <c r="AF100">
        <v>1200</v>
      </c>
      <c r="AG100">
        <v>1200</v>
      </c>
      <c r="AH100" s="2">
        <f t="shared" si="48"/>
        <v>2400</v>
      </c>
      <c r="AI100" s="2">
        <f t="shared" si="49"/>
        <v>19200</v>
      </c>
      <c r="AJ100" s="2">
        <f t="shared" si="50"/>
        <v>5.333333333333333</v>
      </c>
      <c r="AK100">
        <v>1120</v>
      </c>
      <c r="AL100">
        <v>1120</v>
      </c>
      <c r="AM100" s="2">
        <f t="shared" si="51"/>
        <v>2240</v>
      </c>
      <c r="AN100" s="2">
        <f t="shared" si="52"/>
        <v>17920</v>
      </c>
      <c r="AO100" s="2">
        <f t="shared" si="53"/>
        <v>4.9777777777777779</v>
      </c>
      <c r="AP100">
        <v>1120</v>
      </c>
      <c r="AQ100">
        <v>1120</v>
      </c>
      <c r="AR100" s="2">
        <f t="shared" si="54"/>
        <v>2240</v>
      </c>
      <c r="AS100" s="2">
        <f t="shared" si="55"/>
        <v>17920</v>
      </c>
      <c r="AT100" s="2">
        <f t="shared" si="56"/>
        <v>4.9777777777777779</v>
      </c>
      <c r="AU100">
        <v>1040</v>
      </c>
      <c r="AV100">
        <v>1040</v>
      </c>
      <c r="AW100" s="2">
        <f t="shared" si="57"/>
        <v>2080</v>
      </c>
      <c r="AX100" s="2">
        <f t="shared" si="58"/>
        <v>16640</v>
      </c>
      <c r="AY100" s="2">
        <f t="shared" si="59"/>
        <v>4.6222222222222218</v>
      </c>
    </row>
    <row r="101" spans="1:51" x14ac:dyDescent="0.3">
      <c r="A101" s="2" t="s">
        <v>105</v>
      </c>
      <c r="B101">
        <v>960</v>
      </c>
      <c r="C101">
        <v>960</v>
      </c>
      <c r="D101" s="2">
        <f t="shared" si="30"/>
        <v>1920</v>
      </c>
      <c r="E101" s="2">
        <f t="shared" si="31"/>
        <v>15360</v>
      </c>
      <c r="F101" s="2">
        <f t="shared" si="32"/>
        <v>4.2666666666666666</v>
      </c>
      <c r="G101">
        <v>1120</v>
      </c>
      <c r="H101">
        <v>1120</v>
      </c>
      <c r="I101" s="2">
        <f t="shared" si="33"/>
        <v>2240</v>
      </c>
      <c r="J101" s="2">
        <f t="shared" si="34"/>
        <v>17920</v>
      </c>
      <c r="K101" s="2">
        <f t="shared" si="35"/>
        <v>4.9777777777777779</v>
      </c>
      <c r="L101">
        <v>1120</v>
      </c>
      <c r="M101">
        <v>1120</v>
      </c>
      <c r="N101" s="2">
        <f t="shared" si="36"/>
        <v>2240</v>
      </c>
      <c r="O101" s="2">
        <f t="shared" si="37"/>
        <v>17920</v>
      </c>
      <c r="P101" s="2">
        <f t="shared" si="38"/>
        <v>4.9777777777777779</v>
      </c>
      <c r="Q101">
        <v>960</v>
      </c>
      <c r="R101">
        <v>960</v>
      </c>
      <c r="S101" s="2">
        <f t="shared" si="39"/>
        <v>1920</v>
      </c>
      <c r="T101" s="2">
        <f t="shared" si="40"/>
        <v>15360</v>
      </c>
      <c r="U101" s="2">
        <f t="shared" si="41"/>
        <v>4.2666666666666666</v>
      </c>
      <c r="V101">
        <v>1120</v>
      </c>
      <c r="W101">
        <v>1120</v>
      </c>
      <c r="X101" s="2">
        <f t="shared" si="42"/>
        <v>2240</v>
      </c>
      <c r="Y101" s="2">
        <f t="shared" si="43"/>
        <v>17920</v>
      </c>
      <c r="Z101" s="2">
        <f t="shared" si="44"/>
        <v>4.9777777777777779</v>
      </c>
      <c r="AA101">
        <v>1040</v>
      </c>
      <c r="AB101">
        <v>1040</v>
      </c>
      <c r="AC101" s="2">
        <f t="shared" si="45"/>
        <v>2080</v>
      </c>
      <c r="AD101" s="2">
        <f t="shared" si="46"/>
        <v>16640</v>
      </c>
      <c r="AE101" s="2">
        <f t="shared" si="47"/>
        <v>4.6222222222222218</v>
      </c>
      <c r="AF101">
        <v>1120</v>
      </c>
      <c r="AG101">
        <v>1120</v>
      </c>
      <c r="AH101" s="2">
        <f t="shared" si="48"/>
        <v>2240</v>
      </c>
      <c r="AI101" s="2">
        <f t="shared" si="49"/>
        <v>17920</v>
      </c>
      <c r="AJ101" s="2">
        <f t="shared" si="50"/>
        <v>4.9777777777777779</v>
      </c>
      <c r="AK101">
        <v>1120</v>
      </c>
      <c r="AL101">
        <v>1120</v>
      </c>
      <c r="AM101" s="2">
        <f t="shared" si="51"/>
        <v>2240</v>
      </c>
      <c r="AN101" s="2">
        <f t="shared" si="52"/>
        <v>17920</v>
      </c>
      <c r="AO101" s="2">
        <f t="shared" si="53"/>
        <v>4.9777777777777779</v>
      </c>
      <c r="AP101">
        <v>1280</v>
      </c>
      <c r="AQ101">
        <v>1280</v>
      </c>
      <c r="AR101" s="2">
        <f t="shared" si="54"/>
        <v>2560</v>
      </c>
      <c r="AS101" s="2">
        <f t="shared" si="55"/>
        <v>20480</v>
      </c>
      <c r="AT101" s="2">
        <f t="shared" si="56"/>
        <v>5.6888888888888891</v>
      </c>
      <c r="AU101">
        <v>1120</v>
      </c>
      <c r="AV101">
        <v>1120</v>
      </c>
      <c r="AW101" s="2">
        <f t="shared" si="57"/>
        <v>2240</v>
      </c>
      <c r="AX101" s="2">
        <f t="shared" si="58"/>
        <v>17920</v>
      </c>
      <c r="AY101" s="2">
        <f t="shared" si="59"/>
        <v>4.9777777777777779</v>
      </c>
    </row>
    <row r="102" spans="1:51" x14ac:dyDescent="0.3">
      <c r="A102" s="2" t="s">
        <v>106</v>
      </c>
      <c r="B102">
        <v>960</v>
      </c>
      <c r="C102">
        <v>960</v>
      </c>
      <c r="D102" s="2">
        <f t="shared" si="30"/>
        <v>1920</v>
      </c>
      <c r="E102" s="2">
        <f t="shared" si="31"/>
        <v>15360</v>
      </c>
      <c r="F102" s="2">
        <f t="shared" si="32"/>
        <v>4.2666666666666666</v>
      </c>
      <c r="G102">
        <v>1120</v>
      </c>
      <c r="H102">
        <v>1120</v>
      </c>
      <c r="I102" s="2">
        <f t="shared" si="33"/>
        <v>2240</v>
      </c>
      <c r="J102" s="2">
        <f t="shared" si="34"/>
        <v>17920</v>
      </c>
      <c r="K102" s="2">
        <f t="shared" si="35"/>
        <v>4.9777777777777779</v>
      </c>
      <c r="L102">
        <v>880</v>
      </c>
      <c r="M102">
        <v>880</v>
      </c>
      <c r="N102" s="2">
        <f t="shared" si="36"/>
        <v>1760</v>
      </c>
      <c r="O102" s="2">
        <f t="shared" si="37"/>
        <v>14080</v>
      </c>
      <c r="P102" s="2">
        <f t="shared" si="38"/>
        <v>3.911111111111111</v>
      </c>
      <c r="Q102">
        <v>1200</v>
      </c>
      <c r="R102">
        <v>1200</v>
      </c>
      <c r="S102" s="2">
        <f t="shared" si="39"/>
        <v>2400</v>
      </c>
      <c r="T102" s="2">
        <f t="shared" si="40"/>
        <v>19200</v>
      </c>
      <c r="U102" s="2">
        <f t="shared" si="41"/>
        <v>5.333333333333333</v>
      </c>
      <c r="V102">
        <v>1120</v>
      </c>
      <c r="W102">
        <v>1120</v>
      </c>
      <c r="X102" s="2">
        <f t="shared" si="42"/>
        <v>2240</v>
      </c>
      <c r="Y102" s="2">
        <f t="shared" si="43"/>
        <v>17920</v>
      </c>
      <c r="Z102" s="2">
        <f t="shared" si="44"/>
        <v>4.9777777777777779</v>
      </c>
      <c r="AA102">
        <v>1200</v>
      </c>
      <c r="AB102">
        <v>1200</v>
      </c>
      <c r="AC102" s="2">
        <f t="shared" si="45"/>
        <v>2400</v>
      </c>
      <c r="AD102" s="2">
        <f t="shared" si="46"/>
        <v>19200</v>
      </c>
      <c r="AE102" s="2">
        <f t="shared" si="47"/>
        <v>5.333333333333333</v>
      </c>
      <c r="AF102">
        <v>960</v>
      </c>
      <c r="AG102">
        <v>960</v>
      </c>
      <c r="AH102" s="2">
        <f t="shared" si="48"/>
        <v>1920</v>
      </c>
      <c r="AI102" s="2">
        <f t="shared" si="49"/>
        <v>15360</v>
      </c>
      <c r="AJ102" s="2">
        <f t="shared" si="50"/>
        <v>4.2666666666666666</v>
      </c>
      <c r="AK102">
        <v>1040</v>
      </c>
      <c r="AL102">
        <v>1040</v>
      </c>
      <c r="AM102" s="2">
        <f t="shared" si="51"/>
        <v>2080</v>
      </c>
      <c r="AN102" s="2">
        <f t="shared" si="52"/>
        <v>16640</v>
      </c>
      <c r="AO102" s="2">
        <f t="shared" si="53"/>
        <v>4.6222222222222218</v>
      </c>
      <c r="AP102">
        <v>1040</v>
      </c>
      <c r="AQ102">
        <v>1040</v>
      </c>
      <c r="AR102" s="2">
        <f t="shared" si="54"/>
        <v>2080</v>
      </c>
      <c r="AS102" s="2">
        <f t="shared" si="55"/>
        <v>16640</v>
      </c>
      <c r="AT102" s="2">
        <f t="shared" si="56"/>
        <v>4.6222222222222218</v>
      </c>
      <c r="AU102">
        <v>1200</v>
      </c>
      <c r="AV102">
        <v>1200</v>
      </c>
      <c r="AW102" s="2">
        <f t="shared" si="57"/>
        <v>2400</v>
      </c>
      <c r="AX102" s="2">
        <f t="shared" si="58"/>
        <v>19200</v>
      </c>
      <c r="AY102" s="2">
        <f t="shared" si="59"/>
        <v>5.333333333333333</v>
      </c>
    </row>
    <row r="103" spans="1:51" x14ac:dyDescent="0.3">
      <c r="A103" s="2" t="s">
        <v>107</v>
      </c>
      <c r="F103" s="2">
        <f>AVERAGE(F3:F102)</f>
        <v>4.7502222222222166</v>
      </c>
      <c r="K103" s="2">
        <f>AVERAGE(K3:K102)</f>
        <v>4.7039999999999944</v>
      </c>
      <c r="P103" s="2">
        <f>AVERAGE(P3:P102)</f>
        <v>4.7288888888888829</v>
      </c>
      <c r="U103" s="2">
        <f>AVERAGE(U3:U102)</f>
        <v>4.7324444444444387</v>
      </c>
      <c r="Z103" s="2">
        <f>AVERAGE(Z3:Z102)</f>
        <v>4.7182222222222165</v>
      </c>
      <c r="AE103" s="2">
        <f>AVERAGE(AE3:AE102)</f>
        <v>4.6719999999999944</v>
      </c>
      <c r="AJ103" s="2">
        <f>AVERAGE(AJ3:AJ102)</f>
        <v>4.7431111111111059</v>
      </c>
      <c r="AO103" s="2">
        <f>AVERAGE(AO3:AO102)</f>
        <v>4.7644444444444387</v>
      </c>
      <c r="AT103" s="2">
        <f>AVERAGE(AT3:AT102)</f>
        <v>4.7182222222222165</v>
      </c>
      <c r="AY103" s="2">
        <f>AVERAGE(AY3:AY102)</f>
        <v>4.760888888888883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3"/>
  <sheetViews>
    <sheetView topLeftCell="A85" workbookViewId="0">
      <selection activeCell="A103" sqref="A103:XFD103"/>
    </sheetView>
  </sheetViews>
  <sheetFormatPr defaultRowHeight="14.4" x14ac:dyDescent="0.3"/>
  <cols>
    <col min="6" max="6" width="12.44140625" customWidth="1"/>
    <col min="11" max="11" width="12.44140625" customWidth="1"/>
    <col min="12" max="12" width="9.5546875" customWidth="1"/>
    <col min="16" max="16" width="14" customWidth="1"/>
    <col min="21" max="21" width="13" customWidth="1"/>
    <col min="26" max="26" width="14.88671875" customWidth="1"/>
    <col min="31" max="31" width="12.44140625" customWidth="1"/>
    <col min="36" max="36" width="12.109375" customWidth="1"/>
    <col min="41" max="41" width="13.6640625" customWidth="1"/>
  </cols>
  <sheetData>
    <row r="1" spans="1:51" x14ac:dyDescent="0.3">
      <c r="A1" s="1"/>
      <c r="B1" s="1" t="s">
        <v>0</v>
      </c>
      <c r="C1" s="1"/>
      <c r="D1" s="1"/>
      <c r="E1" s="1"/>
      <c r="F1" s="1"/>
      <c r="H1" s="1" t="s">
        <v>108</v>
      </c>
      <c r="I1" s="1"/>
      <c r="J1" s="1"/>
      <c r="K1" s="1"/>
      <c r="L1" s="1" t="s">
        <v>109</v>
      </c>
      <c r="M1" s="1"/>
      <c r="N1" s="1"/>
      <c r="O1" s="1"/>
      <c r="P1" s="1"/>
      <c r="R1" s="1" t="s">
        <v>110</v>
      </c>
      <c r="S1" s="1"/>
      <c r="T1" s="1"/>
      <c r="U1" s="1"/>
      <c r="V1" s="1" t="s">
        <v>114</v>
      </c>
      <c r="W1" s="1"/>
      <c r="X1" s="1"/>
      <c r="Y1" s="1"/>
      <c r="Z1" s="1"/>
      <c r="AB1" s="1" t="s">
        <v>115</v>
      </c>
      <c r="AC1" s="1"/>
      <c r="AD1" s="1"/>
      <c r="AE1" s="1"/>
      <c r="AF1" s="1" t="s">
        <v>116</v>
      </c>
      <c r="AG1" s="1"/>
      <c r="AH1" s="1"/>
      <c r="AI1" s="1"/>
      <c r="AJ1" s="1"/>
      <c r="AL1" s="1" t="s">
        <v>117</v>
      </c>
      <c r="AM1" s="1"/>
      <c r="AN1" s="1"/>
      <c r="AO1" s="1"/>
      <c r="AP1" s="1" t="s">
        <v>118</v>
      </c>
      <c r="AQ1" s="1"/>
      <c r="AR1" s="1"/>
      <c r="AS1" s="1"/>
      <c r="AT1" s="1"/>
      <c r="AV1" s="1" t="s">
        <v>119</v>
      </c>
      <c r="AW1" s="1"/>
      <c r="AX1" s="1"/>
      <c r="AY1" s="1"/>
    </row>
    <row r="2" spans="1:51" ht="69.59999999999999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111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112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113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125</v>
      </c>
      <c r="AA2" s="1" t="s">
        <v>2</v>
      </c>
      <c r="AB2" s="1" t="s">
        <v>3</v>
      </c>
      <c r="AC2" s="1" t="s">
        <v>4</v>
      </c>
      <c r="AD2" s="1" t="s">
        <v>5</v>
      </c>
      <c r="AE2" s="1" t="s">
        <v>124</v>
      </c>
      <c r="AF2" s="1" t="s">
        <v>2</v>
      </c>
      <c r="AG2" s="1" t="s">
        <v>3</v>
      </c>
      <c r="AH2" s="1" t="s">
        <v>4</v>
      </c>
      <c r="AI2" s="1" t="s">
        <v>5</v>
      </c>
      <c r="AJ2" s="1" t="s">
        <v>123</v>
      </c>
      <c r="AK2" s="1" t="s">
        <v>2</v>
      </c>
      <c r="AL2" s="1" t="s">
        <v>3</v>
      </c>
      <c r="AM2" s="1" t="s">
        <v>4</v>
      </c>
      <c r="AN2" s="1" t="s">
        <v>5</v>
      </c>
      <c r="AO2" s="1" t="s">
        <v>122</v>
      </c>
      <c r="AP2" s="1" t="s">
        <v>2</v>
      </c>
      <c r="AQ2" s="1" t="s">
        <v>3</v>
      </c>
      <c r="AR2" s="1" t="s">
        <v>4</v>
      </c>
      <c r="AS2" s="1" t="s">
        <v>5</v>
      </c>
      <c r="AT2" s="1" t="s">
        <v>121</v>
      </c>
      <c r="AU2" s="1" t="s">
        <v>2</v>
      </c>
      <c r="AV2" s="1" t="s">
        <v>3</v>
      </c>
      <c r="AW2" s="1" t="s">
        <v>4</v>
      </c>
      <c r="AX2" s="1" t="s">
        <v>5</v>
      </c>
      <c r="AY2" s="1" t="s">
        <v>120</v>
      </c>
    </row>
    <row r="3" spans="1:51" x14ac:dyDescent="0.3">
      <c r="A3" s="2" t="s">
        <v>7</v>
      </c>
      <c r="B3">
        <v>1040</v>
      </c>
      <c r="C3">
        <v>1040</v>
      </c>
      <c r="D3" s="2">
        <f>SUM(B3:C3)</f>
        <v>2080</v>
      </c>
      <c r="E3" s="2">
        <f>(D3*8)</f>
        <v>16640</v>
      </c>
      <c r="F3" s="2">
        <f>(E3/3600)</f>
        <v>4.6222222222222218</v>
      </c>
      <c r="G3">
        <v>1120</v>
      </c>
      <c r="H3">
        <v>1120</v>
      </c>
      <c r="I3" s="2">
        <f>SUM(G3:H3)</f>
        <v>2240</v>
      </c>
      <c r="J3" s="2">
        <f>(I3*8)</f>
        <v>17920</v>
      </c>
      <c r="K3" s="2">
        <f>(J3/3600)</f>
        <v>4.9777777777777779</v>
      </c>
      <c r="L3">
        <v>1120</v>
      </c>
      <c r="M3">
        <v>1120</v>
      </c>
      <c r="N3" s="2">
        <f>SUM(L3:M3)</f>
        <v>2240</v>
      </c>
      <c r="O3" s="2">
        <f>(N3*8)</f>
        <v>17920</v>
      </c>
      <c r="P3" s="2">
        <f>(O3/3600)</f>
        <v>4.9777777777777779</v>
      </c>
      <c r="Q3">
        <v>880</v>
      </c>
      <c r="R3">
        <v>880</v>
      </c>
      <c r="S3" s="2">
        <f>SUM(Q3:R3)</f>
        <v>1760</v>
      </c>
      <c r="T3" s="2">
        <f>(S3*8)</f>
        <v>14080</v>
      </c>
      <c r="U3" s="2">
        <f>(T3/3600)</f>
        <v>3.911111111111111</v>
      </c>
      <c r="V3">
        <v>1040</v>
      </c>
      <c r="W3">
        <v>1040</v>
      </c>
      <c r="X3" s="2">
        <f>SUM(V3:W3)</f>
        <v>2080</v>
      </c>
      <c r="Y3" s="2">
        <f>(X3*8)</f>
        <v>16640</v>
      </c>
      <c r="Z3" s="2">
        <f>(Y3/3600)</f>
        <v>4.6222222222222218</v>
      </c>
      <c r="AA3">
        <v>1040</v>
      </c>
      <c r="AB3">
        <v>1040</v>
      </c>
      <c r="AC3" s="2">
        <f>SUM(AA3:AB3)</f>
        <v>2080</v>
      </c>
      <c r="AD3" s="2">
        <f>(AC3*8)</f>
        <v>16640</v>
      </c>
      <c r="AE3" s="2">
        <f>(AD3/3600)</f>
        <v>4.6222222222222218</v>
      </c>
      <c r="AF3">
        <v>1040</v>
      </c>
      <c r="AG3">
        <v>1040</v>
      </c>
      <c r="AH3" s="2">
        <f>SUM(AF3:AG3)</f>
        <v>2080</v>
      </c>
      <c r="AI3" s="2">
        <f>(AH3*8)</f>
        <v>16640</v>
      </c>
      <c r="AJ3" s="2">
        <f>(AI3/3600)</f>
        <v>4.6222222222222218</v>
      </c>
      <c r="AK3">
        <v>1120</v>
      </c>
      <c r="AL3">
        <v>1120</v>
      </c>
      <c r="AM3" s="2">
        <f>SUM(AK3:AL3)</f>
        <v>2240</v>
      </c>
      <c r="AN3" s="2">
        <f>(AM3*8)</f>
        <v>17920</v>
      </c>
      <c r="AO3" s="2">
        <f>(AN3/3600)</f>
        <v>4.9777777777777779</v>
      </c>
      <c r="AP3">
        <v>960</v>
      </c>
      <c r="AQ3">
        <v>960</v>
      </c>
      <c r="AR3" s="2">
        <f>SUM(AP3:AQ3)</f>
        <v>1920</v>
      </c>
      <c r="AS3" s="2">
        <f>(AR3*8)</f>
        <v>15360</v>
      </c>
      <c r="AT3" s="2">
        <f>(AS3/3600)</f>
        <v>4.2666666666666666</v>
      </c>
      <c r="AU3">
        <v>960</v>
      </c>
      <c r="AV3">
        <v>960</v>
      </c>
      <c r="AW3" s="2">
        <f>SUM(AU3:AV3)</f>
        <v>1920</v>
      </c>
      <c r="AX3" s="2">
        <f>(AW3*8)</f>
        <v>15360</v>
      </c>
      <c r="AY3" s="2">
        <f>(AX3/3600)</f>
        <v>4.2666666666666666</v>
      </c>
    </row>
    <row r="4" spans="1:51" x14ac:dyDescent="0.3">
      <c r="A4" s="2" t="s">
        <v>8</v>
      </c>
      <c r="B4">
        <v>1040</v>
      </c>
      <c r="C4">
        <v>1040</v>
      </c>
      <c r="D4" s="2">
        <f t="shared" ref="D4:D67" si="0">SUM(B4:C4)</f>
        <v>2080</v>
      </c>
      <c r="E4" s="2">
        <f t="shared" ref="E4:E67" si="1">(D4*8)</f>
        <v>16640</v>
      </c>
      <c r="F4" s="2">
        <f t="shared" ref="F4:F67" si="2">(E4/3600)</f>
        <v>4.6222222222222218</v>
      </c>
      <c r="G4">
        <v>1120</v>
      </c>
      <c r="H4">
        <v>1120</v>
      </c>
      <c r="I4" s="2">
        <f t="shared" ref="I4:I67" si="3">SUM(G4:H4)</f>
        <v>2240</v>
      </c>
      <c r="J4" s="2">
        <f t="shared" ref="J4:J67" si="4">(I4*8)</f>
        <v>17920</v>
      </c>
      <c r="K4" s="2">
        <f t="shared" ref="K4:K67" si="5">(J4/3600)</f>
        <v>4.9777777777777779</v>
      </c>
      <c r="L4">
        <v>960</v>
      </c>
      <c r="M4">
        <v>960</v>
      </c>
      <c r="N4" s="2">
        <f t="shared" ref="N4:N67" si="6">SUM(L4:M4)</f>
        <v>1920</v>
      </c>
      <c r="O4" s="2">
        <f t="shared" ref="O4:O67" si="7">(N4*8)</f>
        <v>15360</v>
      </c>
      <c r="P4" s="2">
        <f t="shared" ref="P4:P67" si="8">(O4/3600)</f>
        <v>4.2666666666666666</v>
      </c>
      <c r="Q4">
        <v>1120</v>
      </c>
      <c r="R4">
        <v>1120</v>
      </c>
      <c r="S4" s="2">
        <f t="shared" ref="S4:S67" si="9">SUM(Q4:R4)</f>
        <v>2240</v>
      </c>
      <c r="T4" s="2">
        <f t="shared" ref="T4:T67" si="10">(S4*8)</f>
        <v>17920</v>
      </c>
      <c r="U4" s="2">
        <f t="shared" ref="U4:U67" si="11">(T4/3600)</f>
        <v>4.9777777777777779</v>
      </c>
      <c r="V4">
        <v>1040</v>
      </c>
      <c r="W4">
        <v>1040</v>
      </c>
      <c r="X4" s="2">
        <f t="shared" ref="X4:X67" si="12">SUM(V4:W4)</f>
        <v>2080</v>
      </c>
      <c r="Y4" s="2">
        <f t="shared" ref="Y4:Y67" si="13">(X4*8)</f>
        <v>16640</v>
      </c>
      <c r="Z4" s="2">
        <f t="shared" ref="Z4:Z67" si="14">(Y4/3600)</f>
        <v>4.6222222222222218</v>
      </c>
      <c r="AA4">
        <v>800</v>
      </c>
      <c r="AB4">
        <v>800</v>
      </c>
      <c r="AC4" s="2">
        <f t="shared" ref="AC4:AC67" si="15">SUM(AA4:AB4)</f>
        <v>1600</v>
      </c>
      <c r="AD4" s="2">
        <f t="shared" ref="AD4:AD67" si="16">(AC4*8)</f>
        <v>12800</v>
      </c>
      <c r="AE4" s="2">
        <f t="shared" ref="AE4:AE67" si="17">(AD4/3600)</f>
        <v>3.5555555555555554</v>
      </c>
      <c r="AF4">
        <v>880</v>
      </c>
      <c r="AG4">
        <v>880</v>
      </c>
      <c r="AH4" s="2">
        <f t="shared" ref="AH4:AH67" si="18">SUM(AF4:AG4)</f>
        <v>1760</v>
      </c>
      <c r="AI4" s="2">
        <f t="shared" ref="AI4:AI67" si="19">(AH4*8)</f>
        <v>14080</v>
      </c>
      <c r="AJ4" s="2">
        <f t="shared" ref="AJ4:AJ67" si="20">(AI4/3600)</f>
        <v>3.911111111111111</v>
      </c>
      <c r="AK4">
        <v>1200</v>
      </c>
      <c r="AL4">
        <v>1200</v>
      </c>
      <c r="AM4" s="2">
        <f t="shared" ref="AM4:AM67" si="21">SUM(AK4:AL4)</f>
        <v>2400</v>
      </c>
      <c r="AN4" s="2">
        <f t="shared" ref="AN4:AN67" si="22">(AM4*8)</f>
        <v>19200</v>
      </c>
      <c r="AO4" s="2">
        <f t="shared" ref="AO4:AO67" si="23">(AN4/3600)</f>
        <v>5.333333333333333</v>
      </c>
      <c r="AP4">
        <v>1040</v>
      </c>
      <c r="AQ4">
        <v>1040</v>
      </c>
      <c r="AR4" s="2">
        <f t="shared" ref="AR4:AR67" si="24">SUM(AP4:AQ4)</f>
        <v>2080</v>
      </c>
      <c r="AS4" s="2">
        <f t="shared" ref="AS4:AS67" si="25">(AR4*8)</f>
        <v>16640</v>
      </c>
      <c r="AT4" s="2">
        <f t="shared" ref="AT4:AT67" si="26">(AS4/3600)</f>
        <v>4.6222222222222218</v>
      </c>
      <c r="AU4">
        <v>1360</v>
      </c>
      <c r="AV4">
        <v>1360</v>
      </c>
      <c r="AW4" s="2">
        <f t="shared" ref="AW4:AW67" si="27">SUM(AU4:AV4)</f>
        <v>2720</v>
      </c>
      <c r="AX4" s="2">
        <f t="shared" ref="AX4:AX67" si="28">(AW4*8)</f>
        <v>21760</v>
      </c>
      <c r="AY4" s="2">
        <f t="shared" ref="AY4:AY67" si="29">(AX4/3600)</f>
        <v>6.0444444444444443</v>
      </c>
    </row>
    <row r="5" spans="1:51" x14ac:dyDescent="0.3">
      <c r="A5" s="2" t="s">
        <v>9</v>
      </c>
      <c r="B5">
        <v>960</v>
      </c>
      <c r="C5">
        <v>960</v>
      </c>
      <c r="D5" s="2">
        <f t="shared" si="0"/>
        <v>1920</v>
      </c>
      <c r="E5" s="2">
        <f t="shared" si="1"/>
        <v>15360</v>
      </c>
      <c r="F5" s="2">
        <f t="shared" si="2"/>
        <v>4.2666666666666666</v>
      </c>
      <c r="G5">
        <v>1120</v>
      </c>
      <c r="H5">
        <v>1120</v>
      </c>
      <c r="I5" s="2">
        <f t="shared" si="3"/>
        <v>2240</v>
      </c>
      <c r="J5" s="2">
        <f t="shared" si="4"/>
        <v>17920</v>
      </c>
      <c r="K5" s="2">
        <f t="shared" si="5"/>
        <v>4.9777777777777779</v>
      </c>
      <c r="L5">
        <v>1120</v>
      </c>
      <c r="M5">
        <v>1120</v>
      </c>
      <c r="N5" s="2">
        <f t="shared" si="6"/>
        <v>2240</v>
      </c>
      <c r="O5" s="2">
        <f t="shared" si="7"/>
        <v>17920</v>
      </c>
      <c r="P5" s="2">
        <f t="shared" si="8"/>
        <v>4.9777777777777779</v>
      </c>
      <c r="Q5">
        <v>1120</v>
      </c>
      <c r="R5">
        <v>1120</v>
      </c>
      <c r="S5" s="2">
        <f t="shared" si="9"/>
        <v>2240</v>
      </c>
      <c r="T5" s="2">
        <f t="shared" si="10"/>
        <v>17920</v>
      </c>
      <c r="U5" s="2">
        <f t="shared" si="11"/>
        <v>4.9777777777777779</v>
      </c>
      <c r="V5">
        <v>1200</v>
      </c>
      <c r="W5">
        <v>1200</v>
      </c>
      <c r="X5" s="2">
        <f t="shared" si="12"/>
        <v>2400</v>
      </c>
      <c r="Y5" s="2">
        <f t="shared" si="13"/>
        <v>19200</v>
      </c>
      <c r="Z5" s="2">
        <f t="shared" si="14"/>
        <v>5.333333333333333</v>
      </c>
      <c r="AA5">
        <v>1200</v>
      </c>
      <c r="AB5">
        <v>1200</v>
      </c>
      <c r="AC5" s="2">
        <f t="shared" si="15"/>
        <v>2400</v>
      </c>
      <c r="AD5" s="2">
        <f t="shared" si="16"/>
        <v>19200</v>
      </c>
      <c r="AE5" s="2">
        <f t="shared" si="17"/>
        <v>5.333333333333333</v>
      </c>
      <c r="AF5">
        <v>800</v>
      </c>
      <c r="AG5">
        <v>800</v>
      </c>
      <c r="AH5" s="2">
        <f t="shared" si="18"/>
        <v>1600</v>
      </c>
      <c r="AI5" s="2">
        <f t="shared" si="19"/>
        <v>12800</v>
      </c>
      <c r="AJ5" s="2">
        <f t="shared" si="20"/>
        <v>3.5555555555555554</v>
      </c>
      <c r="AK5">
        <v>1120</v>
      </c>
      <c r="AL5">
        <v>1120</v>
      </c>
      <c r="AM5" s="2">
        <f t="shared" si="21"/>
        <v>2240</v>
      </c>
      <c r="AN5" s="2">
        <f t="shared" si="22"/>
        <v>17920</v>
      </c>
      <c r="AO5" s="2">
        <f t="shared" si="23"/>
        <v>4.9777777777777779</v>
      </c>
      <c r="AP5">
        <v>880</v>
      </c>
      <c r="AQ5">
        <v>880</v>
      </c>
      <c r="AR5" s="2">
        <f t="shared" si="24"/>
        <v>1760</v>
      </c>
      <c r="AS5" s="2">
        <f t="shared" si="25"/>
        <v>14080</v>
      </c>
      <c r="AT5" s="2">
        <f t="shared" si="26"/>
        <v>3.911111111111111</v>
      </c>
      <c r="AU5">
        <v>1120</v>
      </c>
      <c r="AV5">
        <v>1120</v>
      </c>
      <c r="AW5" s="2">
        <f t="shared" si="27"/>
        <v>2240</v>
      </c>
      <c r="AX5" s="2">
        <f t="shared" si="28"/>
        <v>17920</v>
      </c>
      <c r="AY5" s="2">
        <f t="shared" si="29"/>
        <v>4.9777777777777779</v>
      </c>
    </row>
    <row r="6" spans="1:51" x14ac:dyDescent="0.3">
      <c r="A6" s="2" t="s">
        <v>10</v>
      </c>
      <c r="B6">
        <v>1120</v>
      </c>
      <c r="C6">
        <v>1120</v>
      </c>
      <c r="D6" s="2">
        <f t="shared" si="0"/>
        <v>2240</v>
      </c>
      <c r="E6" s="2">
        <f t="shared" si="1"/>
        <v>17920</v>
      </c>
      <c r="F6" s="2">
        <f t="shared" si="2"/>
        <v>4.9777777777777779</v>
      </c>
      <c r="G6">
        <v>1120</v>
      </c>
      <c r="H6">
        <v>1120</v>
      </c>
      <c r="I6" s="2">
        <f t="shared" si="3"/>
        <v>2240</v>
      </c>
      <c r="J6" s="2">
        <f t="shared" si="4"/>
        <v>17920</v>
      </c>
      <c r="K6" s="2">
        <f t="shared" si="5"/>
        <v>4.9777777777777779</v>
      </c>
      <c r="L6">
        <v>960</v>
      </c>
      <c r="M6">
        <v>960</v>
      </c>
      <c r="N6" s="2">
        <f t="shared" si="6"/>
        <v>1920</v>
      </c>
      <c r="O6" s="2">
        <f t="shared" si="7"/>
        <v>15360</v>
      </c>
      <c r="P6" s="2">
        <f t="shared" si="8"/>
        <v>4.2666666666666666</v>
      </c>
      <c r="Q6">
        <v>960</v>
      </c>
      <c r="R6">
        <v>960</v>
      </c>
      <c r="S6" s="2">
        <f t="shared" si="9"/>
        <v>1920</v>
      </c>
      <c r="T6" s="2">
        <f t="shared" si="10"/>
        <v>15360</v>
      </c>
      <c r="U6" s="2">
        <f t="shared" si="11"/>
        <v>4.2666666666666666</v>
      </c>
      <c r="V6">
        <v>960</v>
      </c>
      <c r="W6">
        <v>960</v>
      </c>
      <c r="X6" s="2">
        <f t="shared" si="12"/>
        <v>1920</v>
      </c>
      <c r="Y6" s="2">
        <f t="shared" si="13"/>
        <v>15360</v>
      </c>
      <c r="Z6" s="2">
        <f t="shared" si="14"/>
        <v>4.2666666666666666</v>
      </c>
      <c r="AA6">
        <v>1120</v>
      </c>
      <c r="AB6">
        <v>1120</v>
      </c>
      <c r="AC6" s="2">
        <f t="shared" si="15"/>
        <v>2240</v>
      </c>
      <c r="AD6" s="2">
        <f t="shared" si="16"/>
        <v>17920</v>
      </c>
      <c r="AE6" s="2">
        <f t="shared" si="17"/>
        <v>4.9777777777777779</v>
      </c>
      <c r="AF6">
        <v>1200</v>
      </c>
      <c r="AG6">
        <v>1200</v>
      </c>
      <c r="AH6" s="2">
        <f t="shared" si="18"/>
        <v>2400</v>
      </c>
      <c r="AI6" s="2">
        <f t="shared" si="19"/>
        <v>19200</v>
      </c>
      <c r="AJ6" s="2">
        <f t="shared" si="20"/>
        <v>5.333333333333333</v>
      </c>
      <c r="AK6">
        <v>1120</v>
      </c>
      <c r="AL6">
        <v>1120</v>
      </c>
      <c r="AM6" s="2">
        <f t="shared" si="21"/>
        <v>2240</v>
      </c>
      <c r="AN6" s="2">
        <f t="shared" si="22"/>
        <v>17920</v>
      </c>
      <c r="AO6" s="2">
        <f t="shared" si="23"/>
        <v>4.9777777777777779</v>
      </c>
      <c r="AP6">
        <v>1120</v>
      </c>
      <c r="AQ6">
        <v>1120</v>
      </c>
      <c r="AR6" s="2">
        <f t="shared" si="24"/>
        <v>2240</v>
      </c>
      <c r="AS6" s="2">
        <f t="shared" si="25"/>
        <v>17920</v>
      </c>
      <c r="AT6" s="2">
        <f t="shared" si="26"/>
        <v>4.9777777777777779</v>
      </c>
      <c r="AU6">
        <v>1280</v>
      </c>
      <c r="AV6">
        <v>1280</v>
      </c>
      <c r="AW6" s="2">
        <f t="shared" si="27"/>
        <v>2560</v>
      </c>
      <c r="AX6" s="2">
        <f t="shared" si="28"/>
        <v>20480</v>
      </c>
      <c r="AY6" s="2">
        <f t="shared" si="29"/>
        <v>5.6888888888888891</v>
      </c>
    </row>
    <row r="7" spans="1:51" x14ac:dyDescent="0.3">
      <c r="A7" s="2" t="s">
        <v>11</v>
      </c>
      <c r="B7">
        <v>1040</v>
      </c>
      <c r="C7">
        <v>1040</v>
      </c>
      <c r="D7" s="2">
        <f t="shared" si="0"/>
        <v>2080</v>
      </c>
      <c r="E7" s="2">
        <f t="shared" si="1"/>
        <v>16640</v>
      </c>
      <c r="F7" s="2">
        <f t="shared" si="2"/>
        <v>4.6222222222222218</v>
      </c>
      <c r="G7">
        <v>960</v>
      </c>
      <c r="H7">
        <v>960</v>
      </c>
      <c r="I7" s="2">
        <f t="shared" si="3"/>
        <v>1920</v>
      </c>
      <c r="J7" s="2">
        <f t="shared" si="4"/>
        <v>15360</v>
      </c>
      <c r="K7" s="2">
        <f t="shared" si="5"/>
        <v>4.2666666666666666</v>
      </c>
      <c r="L7">
        <v>1120</v>
      </c>
      <c r="M7">
        <v>1120</v>
      </c>
      <c r="N7" s="2">
        <f t="shared" si="6"/>
        <v>2240</v>
      </c>
      <c r="O7" s="2">
        <f t="shared" si="7"/>
        <v>17920</v>
      </c>
      <c r="P7" s="2">
        <f t="shared" si="8"/>
        <v>4.9777777777777779</v>
      </c>
      <c r="Q7">
        <v>1040</v>
      </c>
      <c r="R7">
        <v>1040</v>
      </c>
      <c r="S7" s="2">
        <f t="shared" si="9"/>
        <v>2080</v>
      </c>
      <c r="T7" s="2">
        <f t="shared" si="10"/>
        <v>16640</v>
      </c>
      <c r="U7" s="2">
        <f t="shared" si="11"/>
        <v>4.6222222222222218</v>
      </c>
      <c r="V7">
        <v>1040</v>
      </c>
      <c r="W7">
        <v>1040</v>
      </c>
      <c r="X7" s="2">
        <f t="shared" si="12"/>
        <v>2080</v>
      </c>
      <c r="Y7" s="2">
        <f t="shared" si="13"/>
        <v>16640</v>
      </c>
      <c r="Z7" s="2">
        <f t="shared" si="14"/>
        <v>4.6222222222222218</v>
      </c>
      <c r="AA7">
        <v>1120</v>
      </c>
      <c r="AB7">
        <v>1120</v>
      </c>
      <c r="AC7" s="2">
        <f t="shared" si="15"/>
        <v>2240</v>
      </c>
      <c r="AD7" s="2">
        <f t="shared" si="16"/>
        <v>17920</v>
      </c>
      <c r="AE7" s="2">
        <f t="shared" si="17"/>
        <v>4.9777777777777779</v>
      </c>
      <c r="AF7">
        <v>960</v>
      </c>
      <c r="AG7">
        <v>960</v>
      </c>
      <c r="AH7" s="2">
        <f t="shared" si="18"/>
        <v>1920</v>
      </c>
      <c r="AI7" s="2">
        <f t="shared" si="19"/>
        <v>15360</v>
      </c>
      <c r="AJ7" s="2">
        <f t="shared" si="20"/>
        <v>4.2666666666666666</v>
      </c>
      <c r="AK7">
        <v>1120</v>
      </c>
      <c r="AL7">
        <v>1120</v>
      </c>
      <c r="AM7" s="2">
        <f t="shared" si="21"/>
        <v>2240</v>
      </c>
      <c r="AN7" s="2">
        <f t="shared" si="22"/>
        <v>17920</v>
      </c>
      <c r="AO7" s="2">
        <f t="shared" si="23"/>
        <v>4.9777777777777779</v>
      </c>
      <c r="AP7">
        <v>1200</v>
      </c>
      <c r="AQ7">
        <v>1200</v>
      </c>
      <c r="AR7" s="2">
        <f t="shared" si="24"/>
        <v>2400</v>
      </c>
      <c r="AS7" s="2">
        <f t="shared" si="25"/>
        <v>19200</v>
      </c>
      <c r="AT7" s="2">
        <f t="shared" si="26"/>
        <v>5.333333333333333</v>
      </c>
      <c r="AU7">
        <v>1120</v>
      </c>
      <c r="AV7">
        <v>1120</v>
      </c>
      <c r="AW7" s="2">
        <f t="shared" si="27"/>
        <v>2240</v>
      </c>
      <c r="AX7" s="2">
        <f t="shared" si="28"/>
        <v>17920</v>
      </c>
      <c r="AY7" s="2">
        <f t="shared" si="29"/>
        <v>4.9777777777777779</v>
      </c>
    </row>
    <row r="8" spans="1:51" x14ac:dyDescent="0.3">
      <c r="A8" s="2" t="s">
        <v>12</v>
      </c>
      <c r="B8">
        <v>1120</v>
      </c>
      <c r="C8">
        <v>1120</v>
      </c>
      <c r="D8" s="2">
        <f t="shared" si="0"/>
        <v>2240</v>
      </c>
      <c r="E8" s="2">
        <f t="shared" si="1"/>
        <v>17920</v>
      </c>
      <c r="F8" s="2">
        <f t="shared" si="2"/>
        <v>4.9777777777777779</v>
      </c>
      <c r="G8">
        <v>1040</v>
      </c>
      <c r="H8">
        <v>1040</v>
      </c>
      <c r="I8" s="2">
        <f t="shared" si="3"/>
        <v>2080</v>
      </c>
      <c r="J8" s="2">
        <f t="shared" si="4"/>
        <v>16640</v>
      </c>
      <c r="K8" s="2">
        <f t="shared" si="5"/>
        <v>4.6222222222222218</v>
      </c>
      <c r="L8">
        <v>1120</v>
      </c>
      <c r="M8">
        <v>1120</v>
      </c>
      <c r="N8" s="2">
        <f t="shared" si="6"/>
        <v>2240</v>
      </c>
      <c r="O8" s="2">
        <f t="shared" si="7"/>
        <v>17920</v>
      </c>
      <c r="P8" s="2">
        <f t="shared" si="8"/>
        <v>4.9777777777777779</v>
      </c>
      <c r="Q8">
        <v>960</v>
      </c>
      <c r="R8">
        <v>960</v>
      </c>
      <c r="S8" s="2">
        <f t="shared" si="9"/>
        <v>1920</v>
      </c>
      <c r="T8" s="2">
        <f t="shared" si="10"/>
        <v>15360</v>
      </c>
      <c r="U8" s="2">
        <f t="shared" si="11"/>
        <v>4.2666666666666666</v>
      </c>
      <c r="V8">
        <v>1040</v>
      </c>
      <c r="W8">
        <v>1040</v>
      </c>
      <c r="X8" s="2">
        <f t="shared" si="12"/>
        <v>2080</v>
      </c>
      <c r="Y8" s="2">
        <f t="shared" si="13"/>
        <v>16640</v>
      </c>
      <c r="Z8" s="2">
        <f t="shared" si="14"/>
        <v>4.6222222222222218</v>
      </c>
      <c r="AA8">
        <v>1040</v>
      </c>
      <c r="AB8">
        <v>1040</v>
      </c>
      <c r="AC8" s="2">
        <f t="shared" si="15"/>
        <v>2080</v>
      </c>
      <c r="AD8" s="2">
        <f t="shared" si="16"/>
        <v>16640</v>
      </c>
      <c r="AE8" s="2">
        <f t="shared" si="17"/>
        <v>4.6222222222222218</v>
      </c>
      <c r="AF8">
        <v>1040</v>
      </c>
      <c r="AG8">
        <v>1040</v>
      </c>
      <c r="AH8" s="2">
        <f t="shared" si="18"/>
        <v>2080</v>
      </c>
      <c r="AI8" s="2">
        <f t="shared" si="19"/>
        <v>16640</v>
      </c>
      <c r="AJ8" s="2">
        <f t="shared" si="20"/>
        <v>4.6222222222222218</v>
      </c>
      <c r="AK8">
        <v>1040</v>
      </c>
      <c r="AL8">
        <v>1040</v>
      </c>
      <c r="AM8" s="2">
        <f t="shared" si="21"/>
        <v>2080</v>
      </c>
      <c r="AN8" s="2">
        <f t="shared" si="22"/>
        <v>16640</v>
      </c>
      <c r="AO8" s="2">
        <f t="shared" si="23"/>
        <v>4.6222222222222218</v>
      </c>
      <c r="AP8">
        <v>1200</v>
      </c>
      <c r="AQ8">
        <v>1200</v>
      </c>
      <c r="AR8" s="2">
        <f t="shared" si="24"/>
        <v>2400</v>
      </c>
      <c r="AS8" s="2">
        <f t="shared" si="25"/>
        <v>19200</v>
      </c>
      <c r="AT8" s="2">
        <f t="shared" si="26"/>
        <v>5.333333333333333</v>
      </c>
      <c r="AU8">
        <v>1200</v>
      </c>
      <c r="AV8">
        <v>1200</v>
      </c>
      <c r="AW8" s="2">
        <f t="shared" si="27"/>
        <v>2400</v>
      </c>
      <c r="AX8" s="2">
        <f t="shared" si="28"/>
        <v>19200</v>
      </c>
      <c r="AY8" s="2">
        <f t="shared" si="29"/>
        <v>5.333333333333333</v>
      </c>
    </row>
    <row r="9" spans="1:51" x14ac:dyDescent="0.3">
      <c r="A9" s="2" t="s">
        <v>13</v>
      </c>
      <c r="B9">
        <v>880</v>
      </c>
      <c r="C9">
        <v>880</v>
      </c>
      <c r="D9" s="2">
        <f t="shared" si="0"/>
        <v>1760</v>
      </c>
      <c r="E9" s="2">
        <f t="shared" si="1"/>
        <v>14080</v>
      </c>
      <c r="F9" s="2">
        <f t="shared" si="2"/>
        <v>3.911111111111111</v>
      </c>
      <c r="G9">
        <v>960</v>
      </c>
      <c r="H9">
        <v>960</v>
      </c>
      <c r="I9" s="2">
        <f t="shared" si="3"/>
        <v>1920</v>
      </c>
      <c r="J9" s="2">
        <f t="shared" si="4"/>
        <v>15360</v>
      </c>
      <c r="K9" s="2">
        <f t="shared" si="5"/>
        <v>4.2666666666666666</v>
      </c>
      <c r="L9">
        <v>960</v>
      </c>
      <c r="M9">
        <v>960</v>
      </c>
      <c r="N9" s="2">
        <f t="shared" si="6"/>
        <v>1920</v>
      </c>
      <c r="O9" s="2">
        <f t="shared" si="7"/>
        <v>15360</v>
      </c>
      <c r="P9" s="2">
        <f t="shared" si="8"/>
        <v>4.2666666666666666</v>
      </c>
      <c r="Q9">
        <v>800</v>
      </c>
      <c r="R9">
        <v>800</v>
      </c>
      <c r="S9" s="2">
        <f t="shared" si="9"/>
        <v>1600</v>
      </c>
      <c r="T9" s="2">
        <f t="shared" si="10"/>
        <v>12800</v>
      </c>
      <c r="U9" s="2">
        <f t="shared" si="11"/>
        <v>3.5555555555555554</v>
      </c>
      <c r="V9">
        <v>960</v>
      </c>
      <c r="W9">
        <v>960</v>
      </c>
      <c r="X9" s="2">
        <f t="shared" si="12"/>
        <v>1920</v>
      </c>
      <c r="Y9" s="2">
        <f t="shared" si="13"/>
        <v>15360</v>
      </c>
      <c r="Z9" s="2">
        <f t="shared" si="14"/>
        <v>4.2666666666666666</v>
      </c>
      <c r="AA9">
        <v>800</v>
      </c>
      <c r="AB9">
        <v>800</v>
      </c>
      <c r="AC9" s="2">
        <f t="shared" si="15"/>
        <v>1600</v>
      </c>
      <c r="AD9" s="2">
        <f t="shared" si="16"/>
        <v>12800</v>
      </c>
      <c r="AE9" s="2">
        <f t="shared" si="17"/>
        <v>3.5555555555555554</v>
      </c>
      <c r="AF9">
        <v>960</v>
      </c>
      <c r="AG9">
        <v>960</v>
      </c>
      <c r="AH9" s="2">
        <f t="shared" si="18"/>
        <v>1920</v>
      </c>
      <c r="AI9" s="2">
        <f t="shared" si="19"/>
        <v>15360</v>
      </c>
      <c r="AJ9" s="2">
        <f t="shared" si="20"/>
        <v>4.2666666666666666</v>
      </c>
      <c r="AK9">
        <v>880</v>
      </c>
      <c r="AL9">
        <v>880</v>
      </c>
      <c r="AM9" s="2">
        <f t="shared" si="21"/>
        <v>1760</v>
      </c>
      <c r="AN9" s="2">
        <f t="shared" si="22"/>
        <v>14080</v>
      </c>
      <c r="AO9" s="2">
        <f t="shared" si="23"/>
        <v>3.911111111111111</v>
      </c>
      <c r="AP9">
        <v>720</v>
      </c>
      <c r="AQ9">
        <v>720</v>
      </c>
      <c r="AR9" s="2">
        <f t="shared" si="24"/>
        <v>1440</v>
      </c>
      <c r="AS9" s="2">
        <f t="shared" si="25"/>
        <v>11520</v>
      </c>
      <c r="AT9" s="2">
        <f t="shared" si="26"/>
        <v>3.2</v>
      </c>
      <c r="AU9">
        <v>880</v>
      </c>
      <c r="AV9">
        <v>880</v>
      </c>
      <c r="AW9" s="2">
        <f t="shared" si="27"/>
        <v>1760</v>
      </c>
      <c r="AX9" s="2">
        <f t="shared" si="28"/>
        <v>14080</v>
      </c>
      <c r="AY9" s="2">
        <f t="shared" si="29"/>
        <v>3.911111111111111</v>
      </c>
    </row>
    <row r="10" spans="1:51" x14ac:dyDescent="0.3">
      <c r="A10" s="2" t="s">
        <v>14</v>
      </c>
      <c r="B10">
        <v>1040</v>
      </c>
      <c r="C10">
        <v>1040</v>
      </c>
      <c r="D10" s="2">
        <f t="shared" si="0"/>
        <v>2080</v>
      </c>
      <c r="E10" s="2">
        <f t="shared" si="1"/>
        <v>16640</v>
      </c>
      <c r="F10" s="2">
        <f t="shared" si="2"/>
        <v>4.6222222222222218</v>
      </c>
      <c r="G10">
        <v>880</v>
      </c>
      <c r="H10">
        <v>880</v>
      </c>
      <c r="I10" s="2">
        <f t="shared" si="3"/>
        <v>1760</v>
      </c>
      <c r="J10" s="2">
        <f t="shared" si="4"/>
        <v>14080</v>
      </c>
      <c r="K10" s="2">
        <f t="shared" si="5"/>
        <v>3.911111111111111</v>
      </c>
      <c r="L10">
        <v>1040</v>
      </c>
      <c r="M10">
        <v>1040</v>
      </c>
      <c r="N10" s="2">
        <f t="shared" si="6"/>
        <v>2080</v>
      </c>
      <c r="O10" s="2">
        <f t="shared" si="7"/>
        <v>16640</v>
      </c>
      <c r="P10" s="2">
        <f t="shared" si="8"/>
        <v>4.6222222222222218</v>
      </c>
      <c r="Q10">
        <v>960</v>
      </c>
      <c r="R10">
        <v>960</v>
      </c>
      <c r="S10" s="2">
        <f t="shared" si="9"/>
        <v>1920</v>
      </c>
      <c r="T10" s="2">
        <f t="shared" si="10"/>
        <v>15360</v>
      </c>
      <c r="U10" s="2">
        <f t="shared" si="11"/>
        <v>4.2666666666666666</v>
      </c>
      <c r="V10">
        <v>1120</v>
      </c>
      <c r="W10">
        <v>1120</v>
      </c>
      <c r="X10" s="2">
        <f t="shared" si="12"/>
        <v>2240</v>
      </c>
      <c r="Y10" s="2">
        <f t="shared" si="13"/>
        <v>17920</v>
      </c>
      <c r="Z10" s="2">
        <f t="shared" si="14"/>
        <v>4.9777777777777779</v>
      </c>
      <c r="AA10">
        <v>1200</v>
      </c>
      <c r="AB10">
        <v>1200</v>
      </c>
      <c r="AC10" s="2">
        <f t="shared" si="15"/>
        <v>2400</v>
      </c>
      <c r="AD10" s="2">
        <f t="shared" si="16"/>
        <v>19200</v>
      </c>
      <c r="AE10" s="2">
        <f t="shared" si="17"/>
        <v>5.333333333333333</v>
      </c>
      <c r="AF10">
        <v>1280</v>
      </c>
      <c r="AG10">
        <v>1280</v>
      </c>
      <c r="AH10" s="2">
        <f t="shared" si="18"/>
        <v>2560</v>
      </c>
      <c r="AI10" s="2">
        <f t="shared" si="19"/>
        <v>20480</v>
      </c>
      <c r="AJ10" s="2">
        <f t="shared" si="20"/>
        <v>5.6888888888888891</v>
      </c>
      <c r="AK10">
        <v>1120</v>
      </c>
      <c r="AL10">
        <v>1120</v>
      </c>
      <c r="AM10" s="2">
        <f t="shared" si="21"/>
        <v>2240</v>
      </c>
      <c r="AN10" s="2">
        <f t="shared" si="22"/>
        <v>17920</v>
      </c>
      <c r="AO10" s="2">
        <f t="shared" si="23"/>
        <v>4.9777777777777779</v>
      </c>
      <c r="AP10">
        <v>960</v>
      </c>
      <c r="AQ10">
        <v>960</v>
      </c>
      <c r="AR10" s="2">
        <f t="shared" si="24"/>
        <v>1920</v>
      </c>
      <c r="AS10" s="2">
        <f t="shared" si="25"/>
        <v>15360</v>
      </c>
      <c r="AT10" s="2">
        <f t="shared" si="26"/>
        <v>4.2666666666666666</v>
      </c>
      <c r="AU10">
        <v>880</v>
      </c>
      <c r="AV10">
        <v>880</v>
      </c>
      <c r="AW10" s="2">
        <f t="shared" si="27"/>
        <v>1760</v>
      </c>
      <c r="AX10" s="2">
        <f t="shared" si="28"/>
        <v>14080</v>
      </c>
      <c r="AY10" s="2">
        <f t="shared" si="29"/>
        <v>3.911111111111111</v>
      </c>
    </row>
    <row r="11" spans="1:51" x14ac:dyDescent="0.3">
      <c r="A11" s="2" t="s">
        <v>15</v>
      </c>
      <c r="B11">
        <v>800</v>
      </c>
      <c r="C11">
        <v>800</v>
      </c>
      <c r="D11" s="2">
        <f t="shared" si="0"/>
        <v>1600</v>
      </c>
      <c r="E11" s="2">
        <f t="shared" si="1"/>
        <v>12800</v>
      </c>
      <c r="F11" s="2">
        <f t="shared" si="2"/>
        <v>3.5555555555555554</v>
      </c>
      <c r="G11">
        <v>1200</v>
      </c>
      <c r="H11">
        <v>1200</v>
      </c>
      <c r="I11" s="2">
        <f t="shared" si="3"/>
        <v>2400</v>
      </c>
      <c r="J11" s="2">
        <f t="shared" si="4"/>
        <v>19200</v>
      </c>
      <c r="K11" s="2">
        <f t="shared" si="5"/>
        <v>5.333333333333333</v>
      </c>
      <c r="L11">
        <v>1200</v>
      </c>
      <c r="M11">
        <v>1200</v>
      </c>
      <c r="N11" s="2">
        <f t="shared" si="6"/>
        <v>2400</v>
      </c>
      <c r="O11" s="2">
        <f t="shared" si="7"/>
        <v>19200</v>
      </c>
      <c r="P11" s="2">
        <f t="shared" si="8"/>
        <v>5.333333333333333</v>
      </c>
      <c r="Q11">
        <v>1200</v>
      </c>
      <c r="R11">
        <v>1200</v>
      </c>
      <c r="S11" s="2">
        <f t="shared" si="9"/>
        <v>2400</v>
      </c>
      <c r="T11" s="2">
        <f t="shared" si="10"/>
        <v>19200</v>
      </c>
      <c r="U11" s="2">
        <f t="shared" si="11"/>
        <v>5.333333333333333</v>
      </c>
      <c r="V11">
        <v>1040</v>
      </c>
      <c r="W11">
        <v>1040</v>
      </c>
      <c r="X11" s="2">
        <f t="shared" si="12"/>
        <v>2080</v>
      </c>
      <c r="Y11" s="2">
        <f t="shared" si="13"/>
        <v>16640</v>
      </c>
      <c r="Z11" s="2">
        <f t="shared" si="14"/>
        <v>4.6222222222222218</v>
      </c>
      <c r="AA11">
        <v>960</v>
      </c>
      <c r="AB11">
        <v>960</v>
      </c>
      <c r="AC11" s="2">
        <f t="shared" si="15"/>
        <v>1920</v>
      </c>
      <c r="AD11" s="2">
        <f t="shared" si="16"/>
        <v>15360</v>
      </c>
      <c r="AE11" s="2">
        <f t="shared" si="17"/>
        <v>4.2666666666666666</v>
      </c>
      <c r="AF11">
        <v>1120</v>
      </c>
      <c r="AG11">
        <v>1120</v>
      </c>
      <c r="AH11" s="2">
        <f t="shared" si="18"/>
        <v>2240</v>
      </c>
      <c r="AI11" s="2">
        <f t="shared" si="19"/>
        <v>17920</v>
      </c>
      <c r="AJ11" s="2">
        <f t="shared" si="20"/>
        <v>4.9777777777777779</v>
      </c>
      <c r="AK11">
        <v>1040</v>
      </c>
      <c r="AL11">
        <v>1040</v>
      </c>
      <c r="AM11" s="2">
        <f t="shared" si="21"/>
        <v>2080</v>
      </c>
      <c r="AN11" s="2">
        <f t="shared" si="22"/>
        <v>16640</v>
      </c>
      <c r="AO11" s="2">
        <f t="shared" si="23"/>
        <v>4.6222222222222218</v>
      </c>
      <c r="AP11">
        <v>1040</v>
      </c>
      <c r="AQ11">
        <v>1040</v>
      </c>
      <c r="AR11" s="2">
        <f t="shared" si="24"/>
        <v>2080</v>
      </c>
      <c r="AS11" s="2">
        <f t="shared" si="25"/>
        <v>16640</v>
      </c>
      <c r="AT11" s="2">
        <f t="shared" si="26"/>
        <v>4.6222222222222218</v>
      </c>
      <c r="AU11">
        <v>1120</v>
      </c>
      <c r="AV11">
        <v>1120</v>
      </c>
      <c r="AW11" s="2">
        <f t="shared" si="27"/>
        <v>2240</v>
      </c>
      <c r="AX11" s="2">
        <f t="shared" si="28"/>
        <v>17920</v>
      </c>
      <c r="AY11" s="2">
        <f t="shared" si="29"/>
        <v>4.9777777777777779</v>
      </c>
    </row>
    <row r="12" spans="1:51" x14ac:dyDescent="0.3">
      <c r="A12" s="2" t="s">
        <v>16</v>
      </c>
      <c r="B12">
        <v>1120</v>
      </c>
      <c r="C12">
        <v>1120</v>
      </c>
      <c r="D12" s="2">
        <f t="shared" si="0"/>
        <v>2240</v>
      </c>
      <c r="E12" s="2">
        <f t="shared" si="1"/>
        <v>17920</v>
      </c>
      <c r="F12" s="2">
        <f t="shared" si="2"/>
        <v>4.9777777777777779</v>
      </c>
      <c r="G12">
        <v>960</v>
      </c>
      <c r="H12">
        <v>960</v>
      </c>
      <c r="I12" s="2">
        <f t="shared" si="3"/>
        <v>1920</v>
      </c>
      <c r="J12" s="2">
        <f t="shared" si="4"/>
        <v>15360</v>
      </c>
      <c r="K12" s="2">
        <f t="shared" si="5"/>
        <v>4.2666666666666666</v>
      </c>
      <c r="L12">
        <v>960</v>
      </c>
      <c r="M12">
        <v>960</v>
      </c>
      <c r="N12" s="2">
        <f t="shared" si="6"/>
        <v>1920</v>
      </c>
      <c r="O12" s="2">
        <f t="shared" si="7"/>
        <v>15360</v>
      </c>
      <c r="P12" s="2">
        <f t="shared" si="8"/>
        <v>4.2666666666666666</v>
      </c>
      <c r="Q12">
        <v>1200</v>
      </c>
      <c r="R12">
        <v>1200</v>
      </c>
      <c r="S12" s="2">
        <f t="shared" si="9"/>
        <v>2400</v>
      </c>
      <c r="T12" s="2">
        <f t="shared" si="10"/>
        <v>19200</v>
      </c>
      <c r="U12" s="2">
        <f t="shared" si="11"/>
        <v>5.333333333333333</v>
      </c>
      <c r="V12">
        <v>1120</v>
      </c>
      <c r="W12">
        <v>1120</v>
      </c>
      <c r="X12" s="2">
        <f t="shared" si="12"/>
        <v>2240</v>
      </c>
      <c r="Y12" s="2">
        <f t="shared" si="13"/>
        <v>17920</v>
      </c>
      <c r="Z12" s="2">
        <f t="shared" si="14"/>
        <v>4.9777777777777779</v>
      </c>
      <c r="AA12">
        <v>1120</v>
      </c>
      <c r="AB12">
        <v>1120</v>
      </c>
      <c r="AC12" s="2">
        <f t="shared" si="15"/>
        <v>2240</v>
      </c>
      <c r="AD12" s="2">
        <f t="shared" si="16"/>
        <v>17920</v>
      </c>
      <c r="AE12" s="2">
        <f t="shared" si="17"/>
        <v>4.9777777777777779</v>
      </c>
      <c r="AF12">
        <v>1120</v>
      </c>
      <c r="AG12">
        <v>1120</v>
      </c>
      <c r="AH12" s="2">
        <f t="shared" si="18"/>
        <v>2240</v>
      </c>
      <c r="AI12" s="2">
        <f t="shared" si="19"/>
        <v>17920</v>
      </c>
      <c r="AJ12" s="2">
        <f t="shared" si="20"/>
        <v>4.9777777777777779</v>
      </c>
      <c r="AK12">
        <v>1200</v>
      </c>
      <c r="AL12">
        <v>1200</v>
      </c>
      <c r="AM12" s="2">
        <f t="shared" si="21"/>
        <v>2400</v>
      </c>
      <c r="AN12" s="2">
        <f t="shared" si="22"/>
        <v>19200</v>
      </c>
      <c r="AO12" s="2">
        <f t="shared" si="23"/>
        <v>5.333333333333333</v>
      </c>
      <c r="AP12">
        <v>1040</v>
      </c>
      <c r="AQ12">
        <v>1040</v>
      </c>
      <c r="AR12" s="2">
        <f t="shared" si="24"/>
        <v>2080</v>
      </c>
      <c r="AS12" s="2">
        <f t="shared" si="25"/>
        <v>16640</v>
      </c>
      <c r="AT12" s="2">
        <f t="shared" si="26"/>
        <v>4.6222222222222218</v>
      </c>
      <c r="AU12">
        <v>960</v>
      </c>
      <c r="AV12">
        <v>960</v>
      </c>
      <c r="AW12" s="2">
        <f t="shared" si="27"/>
        <v>1920</v>
      </c>
      <c r="AX12" s="2">
        <f t="shared" si="28"/>
        <v>15360</v>
      </c>
      <c r="AY12" s="2">
        <f t="shared" si="29"/>
        <v>4.2666666666666666</v>
      </c>
    </row>
    <row r="13" spans="1:51" x14ac:dyDescent="0.3">
      <c r="A13" s="2" t="s">
        <v>17</v>
      </c>
      <c r="B13">
        <v>1200</v>
      </c>
      <c r="C13">
        <v>1200</v>
      </c>
      <c r="D13" s="2">
        <f t="shared" si="0"/>
        <v>2400</v>
      </c>
      <c r="E13" s="2">
        <f t="shared" si="1"/>
        <v>19200</v>
      </c>
      <c r="F13" s="2">
        <f t="shared" si="2"/>
        <v>5.333333333333333</v>
      </c>
      <c r="G13">
        <v>1040</v>
      </c>
      <c r="H13">
        <v>1040</v>
      </c>
      <c r="I13" s="2">
        <f t="shared" si="3"/>
        <v>2080</v>
      </c>
      <c r="J13" s="2">
        <f t="shared" si="4"/>
        <v>16640</v>
      </c>
      <c r="K13" s="2">
        <f t="shared" si="5"/>
        <v>4.6222222222222218</v>
      </c>
      <c r="L13">
        <v>1040</v>
      </c>
      <c r="M13">
        <v>1040</v>
      </c>
      <c r="N13" s="2">
        <f t="shared" si="6"/>
        <v>2080</v>
      </c>
      <c r="O13" s="2">
        <f t="shared" si="7"/>
        <v>16640</v>
      </c>
      <c r="P13" s="2">
        <f t="shared" si="8"/>
        <v>4.6222222222222218</v>
      </c>
      <c r="Q13">
        <v>960</v>
      </c>
      <c r="R13">
        <v>960</v>
      </c>
      <c r="S13" s="2">
        <f t="shared" si="9"/>
        <v>1920</v>
      </c>
      <c r="T13" s="2">
        <f t="shared" si="10"/>
        <v>15360</v>
      </c>
      <c r="U13" s="2">
        <f t="shared" si="11"/>
        <v>4.2666666666666666</v>
      </c>
      <c r="V13">
        <v>1200</v>
      </c>
      <c r="W13">
        <v>1200</v>
      </c>
      <c r="X13" s="2">
        <f t="shared" si="12"/>
        <v>2400</v>
      </c>
      <c r="Y13" s="2">
        <f t="shared" si="13"/>
        <v>19200</v>
      </c>
      <c r="Z13" s="2">
        <f t="shared" si="14"/>
        <v>5.333333333333333</v>
      </c>
      <c r="AA13">
        <v>960</v>
      </c>
      <c r="AB13">
        <v>960</v>
      </c>
      <c r="AC13" s="2">
        <f t="shared" si="15"/>
        <v>1920</v>
      </c>
      <c r="AD13" s="2">
        <f t="shared" si="16"/>
        <v>15360</v>
      </c>
      <c r="AE13" s="2">
        <f t="shared" si="17"/>
        <v>4.2666666666666666</v>
      </c>
      <c r="AF13">
        <v>1120</v>
      </c>
      <c r="AG13">
        <v>1120</v>
      </c>
      <c r="AH13" s="2">
        <f t="shared" si="18"/>
        <v>2240</v>
      </c>
      <c r="AI13" s="2">
        <f t="shared" si="19"/>
        <v>17920</v>
      </c>
      <c r="AJ13" s="2">
        <f t="shared" si="20"/>
        <v>4.9777777777777779</v>
      </c>
      <c r="AK13">
        <v>1040</v>
      </c>
      <c r="AL13">
        <v>1040</v>
      </c>
      <c r="AM13" s="2">
        <f t="shared" si="21"/>
        <v>2080</v>
      </c>
      <c r="AN13" s="2">
        <f t="shared" si="22"/>
        <v>16640</v>
      </c>
      <c r="AO13" s="2">
        <f t="shared" si="23"/>
        <v>4.6222222222222218</v>
      </c>
      <c r="AP13">
        <v>1120</v>
      </c>
      <c r="AQ13">
        <v>1120</v>
      </c>
      <c r="AR13" s="2">
        <f t="shared" si="24"/>
        <v>2240</v>
      </c>
      <c r="AS13" s="2">
        <f t="shared" si="25"/>
        <v>17920</v>
      </c>
      <c r="AT13" s="2">
        <f t="shared" si="26"/>
        <v>4.9777777777777779</v>
      </c>
      <c r="AU13">
        <v>1120</v>
      </c>
      <c r="AV13">
        <v>1120</v>
      </c>
      <c r="AW13" s="2">
        <f t="shared" si="27"/>
        <v>2240</v>
      </c>
      <c r="AX13" s="2">
        <f t="shared" si="28"/>
        <v>17920</v>
      </c>
      <c r="AY13" s="2">
        <f t="shared" si="29"/>
        <v>4.9777777777777779</v>
      </c>
    </row>
    <row r="14" spans="1:51" x14ac:dyDescent="0.3">
      <c r="A14" s="2" t="s">
        <v>18</v>
      </c>
      <c r="B14">
        <v>1200</v>
      </c>
      <c r="C14">
        <v>1200</v>
      </c>
      <c r="D14" s="2">
        <f t="shared" si="0"/>
        <v>2400</v>
      </c>
      <c r="E14" s="2">
        <f t="shared" si="1"/>
        <v>19200</v>
      </c>
      <c r="F14" s="2">
        <f t="shared" si="2"/>
        <v>5.333333333333333</v>
      </c>
      <c r="G14">
        <v>1120</v>
      </c>
      <c r="H14">
        <v>1120</v>
      </c>
      <c r="I14" s="2">
        <f t="shared" si="3"/>
        <v>2240</v>
      </c>
      <c r="J14" s="2">
        <f t="shared" si="4"/>
        <v>17920</v>
      </c>
      <c r="K14" s="2">
        <f t="shared" si="5"/>
        <v>4.9777777777777779</v>
      </c>
      <c r="L14">
        <v>880</v>
      </c>
      <c r="M14">
        <v>880</v>
      </c>
      <c r="N14" s="2">
        <f t="shared" si="6"/>
        <v>1760</v>
      </c>
      <c r="O14" s="2">
        <f t="shared" si="7"/>
        <v>14080</v>
      </c>
      <c r="P14" s="2">
        <f t="shared" si="8"/>
        <v>3.911111111111111</v>
      </c>
      <c r="Q14">
        <v>1200</v>
      </c>
      <c r="R14">
        <v>1200</v>
      </c>
      <c r="S14" s="2">
        <f t="shared" si="9"/>
        <v>2400</v>
      </c>
      <c r="T14" s="2">
        <f t="shared" si="10"/>
        <v>19200</v>
      </c>
      <c r="U14" s="2">
        <f t="shared" si="11"/>
        <v>5.333333333333333</v>
      </c>
      <c r="V14">
        <v>1120</v>
      </c>
      <c r="W14">
        <v>1120</v>
      </c>
      <c r="X14" s="2">
        <f t="shared" si="12"/>
        <v>2240</v>
      </c>
      <c r="Y14" s="2">
        <f t="shared" si="13"/>
        <v>17920</v>
      </c>
      <c r="Z14" s="2">
        <f t="shared" si="14"/>
        <v>4.9777777777777779</v>
      </c>
      <c r="AA14">
        <v>1120</v>
      </c>
      <c r="AB14">
        <v>1120</v>
      </c>
      <c r="AC14" s="2">
        <f t="shared" si="15"/>
        <v>2240</v>
      </c>
      <c r="AD14" s="2">
        <f t="shared" si="16"/>
        <v>17920</v>
      </c>
      <c r="AE14" s="2">
        <f t="shared" si="17"/>
        <v>4.9777777777777779</v>
      </c>
      <c r="AF14">
        <v>1120</v>
      </c>
      <c r="AG14">
        <v>1120</v>
      </c>
      <c r="AH14" s="2">
        <f t="shared" si="18"/>
        <v>2240</v>
      </c>
      <c r="AI14" s="2">
        <f t="shared" si="19"/>
        <v>17920</v>
      </c>
      <c r="AJ14" s="2">
        <f t="shared" si="20"/>
        <v>4.9777777777777779</v>
      </c>
      <c r="AK14">
        <v>1120</v>
      </c>
      <c r="AL14">
        <v>1120</v>
      </c>
      <c r="AM14" s="2">
        <f t="shared" si="21"/>
        <v>2240</v>
      </c>
      <c r="AN14" s="2">
        <f t="shared" si="22"/>
        <v>17920</v>
      </c>
      <c r="AO14" s="2">
        <f t="shared" si="23"/>
        <v>4.9777777777777779</v>
      </c>
      <c r="AP14">
        <v>1120</v>
      </c>
      <c r="AQ14">
        <v>1120</v>
      </c>
      <c r="AR14" s="2">
        <f t="shared" si="24"/>
        <v>2240</v>
      </c>
      <c r="AS14" s="2">
        <f t="shared" si="25"/>
        <v>17920</v>
      </c>
      <c r="AT14" s="2">
        <f t="shared" si="26"/>
        <v>4.9777777777777779</v>
      </c>
      <c r="AU14">
        <v>1120</v>
      </c>
      <c r="AV14">
        <v>1120</v>
      </c>
      <c r="AW14" s="2">
        <f t="shared" si="27"/>
        <v>2240</v>
      </c>
      <c r="AX14" s="2">
        <f t="shared" si="28"/>
        <v>17920</v>
      </c>
      <c r="AY14" s="2">
        <f t="shared" si="29"/>
        <v>4.9777777777777779</v>
      </c>
    </row>
    <row r="15" spans="1:51" x14ac:dyDescent="0.3">
      <c r="A15" s="2" t="s">
        <v>19</v>
      </c>
      <c r="B15">
        <v>1040</v>
      </c>
      <c r="C15">
        <v>1040</v>
      </c>
      <c r="D15" s="2">
        <f t="shared" si="0"/>
        <v>2080</v>
      </c>
      <c r="E15" s="2">
        <f t="shared" si="1"/>
        <v>16640</v>
      </c>
      <c r="F15" s="2">
        <f t="shared" si="2"/>
        <v>4.6222222222222218</v>
      </c>
      <c r="G15">
        <v>1200</v>
      </c>
      <c r="H15">
        <v>1200</v>
      </c>
      <c r="I15" s="2">
        <f t="shared" si="3"/>
        <v>2400</v>
      </c>
      <c r="J15" s="2">
        <f t="shared" si="4"/>
        <v>19200</v>
      </c>
      <c r="K15" s="2">
        <f t="shared" si="5"/>
        <v>5.333333333333333</v>
      </c>
      <c r="L15">
        <v>1040</v>
      </c>
      <c r="M15">
        <v>1040</v>
      </c>
      <c r="N15" s="2">
        <f t="shared" si="6"/>
        <v>2080</v>
      </c>
      <c r="O15" s="2">
        <f t="shared" si="7"/>
        <v>16640</v>
      </c>
      <c r="P15" s="2">
        <f t="shared" si="8"/>
        <v>4.6222222222222218</v>
      </c>
      <c r="Q15">
        <v>880</v>
      </c>
      <c r="R15">
        <v>880</v>
      </c>
      <c r="S15" s="2">
        <f t="shared" si="9"/>
        <v>1760</v>
      </c>
      <c r="T15" s="2">
        <f t="shared" si="10"/>
        <v>14080</v>
      </c>
      <c r="U15" s="2">
        <f t="shared" si="11"/>
        <v>3.911111111111111</v>
      </c>
      <c r="V15">
        <v>1040</v>
      </c>
      <c r="W15">
        <v>1040</v>
      </c>
      <c r="X15" s="2">
        <f t="shared" si="12"/>
        <v>2080</v>
      </c>
      <c r="Y15" s="2">
        <f t="shared" si="13"/>
        <v>16640</v>
      </c>
      <c r="Z15" s="2">
        <f t="shared" si="14"/>
        <v>4.6222222222222218</v>
      </c>
      <c r="AA15">
        <v>1120</v>
      </c>
      <c r="AB15">
        <v>1120</v>
      </c>
      <c r="AC15" s="2">
        <f t="shared" si="15"/>
        <v>2240</v>
      </c>
      <c r="AD15" s="2">
        <f t="shared" si="16"/>
        <v>17920</v>
      </c>
      <c r="AE15" s="2">
        <f t="shared" si="17"/>
        <v>4.9777777777777779</v>
      </c>
      <c r="AF15">
        <v>800</v>
      </c>
      <c r="AG15">
        <v>800</v>
      </c>
      <c r="AH15" s="2">
        <f t="shared" si="18"/>
        <v>1600</v>
      </c>
      <c r="AI15" s="2">
        <f t="shared" si="19"/>
        <v>12800</v>
      </c>
      <c r="AJ15" s="2">
        <f t="shared" si="20"/>
        <v>3.5555555555555554</v>
      </c>
      <c r="AK15">
        <v>880</v>
      </c>
      <c r="AL15">
        <v>880</v>
      </c>
      <c r="AM15" s="2">
        <f t="shared" si="21"/>
        <v>1760</v>
      </c>
      <c r="AN15" s="2">
        <f t="shared" si="22"/>
        <v>14080</v>
      </c>
      <c r="AO15" s="2">
        <f t="shared" si="23"/>
        <v>3.911111111111111</v>
      </c>
      <c r="AP15">
        <v>1120</v>
      </c>
      <c r="AQ15">
        <v>1120</v>
      </c>
      <c r="AR15" s="2">
        <f t="shared" si="24"/>
        <v>2240</v>
      </c>
      <c r="AS15" s="2">
        <f t="shared" si="25"/>
        <v>17920</v>
      </c>
      <c r="AT15" s="2">
        <f t="shared" si="26"/>
        <v>4.9777777777777779</v>
      </c>
      <c r="AU15">
        <v>1120</v>
      </c>
      <c r="AV15">
        <v>1120</v>
      </c>
      <c r="AW15" s="2">
        <f t="shared" si="27"/>
        <v>2240</v>
      </c>
      <c r="AX15" s="2">
        <f t="shared" si="28"/>
        <v>17920</v>
      </c>
      <c r="AY15" s="2">
        <f t="shared" si="29"/>
        <v>4.9777777777777779</v>
      </c>
    </row>
    <row r="16" spans="1:51" x14ac:dyDescent="0.3">
      <c r="A16" s="2" t="s">
        <v>20</v>
      </c>
      <c r="B16">
        <v>1200</v>
      </c>
      <c r="C16">
        <v>1200</v>
      </c>
      <c r="D16" s="2">
        <f t="shared" si="0"/>
        <v>2400</v>
      </c>
      <c r="E16" s="2">
        <f t="shared" si="1"/>
        <v>19200</v>
      </c>
      <c r="F16" s="2">
        <f t="shared" si="2"/>
        <v>5.333333333333333</v>
      </c>
      <c r="G16">
        <v>1200</v>
      </c>
      <c r="H16">
        <v>1200</v>
      </c>
      <c r="I16" s="2">
        <f t="shared" si="3"/>
        <v>2400</v>
      </c>
      <c r="J16" s="2">
        <f t="shared" si="4"/>
        <v>19200</v>
      </c>
      <c r="K16" s="2">
        <f t="shared" si="5"/>
        <v>5.333333333333333</v>
      </c>
      <c r="L16">
        <v>1200</v>
      </c>
      <c r="M16">
        <v>1200</v>
      </c>
      <c r="N16" s="2">
        <f t="shared" si="6"/>
        <v>2400</v>
      </c>
      <c r="O16" s="2">
        <f t="shared" si="7"/>
        <v>19200</v>
      </c>
      <c r="P16" s="2">
        <f t="shared" si="8"/>
        <v>5.333333333333333</v>
      </c>
      <c r="Q16">
        <v>1120</v>
      </c>
      <c r="R16">
        <v>1120</v>
      </c>
      <c r="S16" s="2">
        <f t="shared" si="9"/>
        <v>2240</v>
      </c>
      <c r="T16" s="2">
        <f t="shared" si="10"/>
        <v>17920</v>
      </c>
      <c r="U16" s="2">
        <f t="shared" si="11"/>
        <v>4.9777777777777779</v>
      </c>
      <c r="V16">
        <v>1120</v>
      </c>
      <c r="W16">
        <v>1120</v>
      </c>
      <c r="X16" s="2">
        <f t="shared" si="12"/>
        <v>2240</v>
      </c>
      <c r="Y16" s="2">
        <f t="shared" si="13"/>
        <v>17920</v>
      </c>
      <c r="Z16" s="2">
        <f t="shared" si="14"/>
        <v>4.9777777777777779</v>
      </c>
      <c r="AA16">
        <v>1120</v>
      </c>
      <c r="AB16">
        <v>1120</v>
      </c>
      <c r="AC16" s="2">
        <f t="shared" si="15"/>
        <v>2240</v>
      </c>
      <c r="AD16" s="2">
        <f t="shared" si="16"/>
        <v>17920</v>
      </c>
      <c r="AE16" s="2">
        <f t="shared" si="17"/>
        <v>4.9777777777777779</v>
      </c>
      <c r="AF16">
        <v>1200</v>
      </c>
      <c r="AG16">
        <v>1200</v>
      </c>
      <c r="AH16" s="2">
        <f t="shared" si="18"/>
        <v>2400</v>
      </c>
      <c r="AI16" s="2">
        <f t="shared" si="19"/>
        <v>19200</v>
      </c>
      <c r="AJ16" s="2">
        <f t="shared" si="20"/>
        <v>5.333333333333333</v>
      </c>
      <c r="AK16">
        <v>1040</v>
      </c>
      <c r="AL16">
        <v>1040</v>
      </c>
      <c r="AM16" s="2">
        <f t="shared" si="21"/>
        <v>2080</v>
      </c>
      <c r="AN16" s="2">
        <f t="shared" si="22"/>
        <v>16640</v>
      </c>
      <c r="AO16" s="2">
        <f t="shared" si="23"/>
        <v>4.6222222222222218</v>
      </c>
      <c r="AP16">
        <v>1120</v>
      </c>
      <c r="AQ16">
        <v>1120</v>
      </c>
      <c r="AR16" s="2">
        <f t="shared" si="24"/>
        <v>2240</v>
      </c>
      <c r="AS16" s="2">
        <f t="shared" si="25"/>
        <v>17920</v>
      </c>
      <c r="AT16" s="2">
        <f t="shared" si="26"/>
        <v>4.9777777777777779</v>
      </c>
      <c r="AU16">
        <v>1120</v>
      </c>
      <c r="AV16">
        <v>1120</v>
      </c>
      <c r="AW16" s="2">
        <f t="shared" si="27"/>
        <v>2240</v>
      </c>
      <c r="AX16" s="2">
        <f t="shared" si="28"/>
        <v>17920</v>
      </c>
      <c r="AY16" s="2">
        <f t="shared" si="29"/>
        <v>4.9777777777777779</v>
      </c>
    </row>
    <row r="17" spans="1:51" x14ac:dyDescent="0.3">
      <c r="A17" s="2" t="s">
        <v>21</v>
      </c>
      <c r="B17">
        <v>960</v>
      </c>
      <c r="C17">
        <v>960</v>
      </c>
      <c r="D17" s="2">
        <f t="shared" si="0"/>
        <v>1920</v>
      </c>
      <c r="E17" s="2">
        <f t="shared" si="1"/>
        <v>15360</v>
      </c>
      <c r="F17" s="2">
        <f t="shared" si="2"/>
        <v>4.2666666666666666</v>
      </c>
      <c r="G17">
        <v>1120</v>
      </c>
      <c r="H17">
        <v>1120</v>
      </c>
      <c r="I17" s="2">
        <f t="shared" si="3"/>
        <v>2240</v>
      </c>
      <c r="J17" s="2">
        <f t="shared" si="4"/>
        <v>17920</v>
      </c>
      <c r="K17" s="2">
        <f t="shared" si="5"/>
        <v>4.9777777777777779</v>
      </c>
      <c r="L17">
        <v>1040</v>
      </c>
      <c r="M17">
        <v>1040</v>
      </c>
      <c r="N17" s="2">
        <f t="shared" si="6"/>
        <v>2080</v>
      </c>
      <c r="O17" s="2">
        <f t="shared" si="7"/>
        <v>16640</v>
      </c>
      <c r="P17" s="2">
        <f t="shared" si="8"/>
        <v>4.6222222222222218</v>
      </c>
      <c r="Q17">
        <v>1120</v>
      </c>
      <c r="R17">
        <v>1120</v>
      </c>
      <c r="S17" s="2">
        <f t="shared" si="9"/>
        <v>2240</v>
      </c>
      <c r="T17" s="2">
        <f t="shared" si="10"/>
        <v>17920</v>
      </c>
      <c r="U17" s="2">
        <f t="shared" si="11"/>
        <v>4.9777777777777779</v>
      </c>
      <c r="V17">
        <v>960</v>
      </c>
      <c r="W17">
        <v>960</v>
      </c>
      <c r="X17" s="2">
        <f t="shared" si="12"/>
        <v>1920</v>
      </c>
      <c r="Y17" s="2">
        <f t="shared" si="13"/>
        <v>15360</v>
      </c>
      <c r="Z17" s="2">
        <f t="shared" si="14"/>
        <v>4.2666666666666666</v>
      </c>
      <c r="AA17">
        <v>1040</v>
      </c>
      <c r="AB17">
        <v>1040</v>
      </c>
      <c r="AC17" s="2">
        <f t="shared" si="15"/>
        <v>2080</v>
      </c>
      <c r="AD17" s="2">
        <f t="shared" si="16"/>
        <v>16640</v>
      </c>
      <c r="AE17" s="2">
        <f t="shared" si="17"/>
        <v>4.6222222222222218</v>
      </c>
      <c r="AF17">
        <v>1120</v>
      </c>
      <c r="AG17">
        <v>1120</v>
      </c>
      <c r="AH17" s="2">
        <f t="shared" si="18"/>
        <v>2240</v>
      </c>
      <c r="AI17" s="2">
        <f t="shared" si="19"/>
        <v>17920</v>
      </c>
      <c r="AJ17" s="2">
        <f t="shared" si="20"/>
        <v>4.9777777777777779</v>
      </c>
      <c r="AK17">
        <v>1040</v>
      </c>
      <c r="AL17">
        <v>1040</v>
      </c>
      <c r="AM17" s="2">
        <f t="shared" si="21"/>
        <v>2080</v>
      </c>
      <c r="AN17" s="2">
        <f t="shared" si="22"/>
        <v>16640</v>
      </c>
      <c r="AO17" s="2">
        <f t="shared" si="23"/>
        <v>4.6222222222222218</v>
      </c>
      <c r="AP17">
        <v>960</v>
      </c>
      <c r="AQ17">
        <v>960</v>
      </c>
      <c r="AR17" s="2">
        <f t="shared" si="24"/>
        <v>1920</v>
      </c>
      <c r="AS17" s="2">
        <f t="shared" si="25"/>
        <v>15360</v>
      </c>
      <c r="AT17" s="2">
        <f t="shared" si="26"/>
        <v>4.2666666666666666</v>
      </c>
      <c r="AU17">
        <v>960</v>
      </c>
      <c r="AV17">
        <v>960</v>
      </c>
      <c r="AW17" s="2">
        <f t="shared" si="27"/>
        <v>1920</v>
      </c>
      <c r="AX17" s="2">
        <f t="shared" si="28"/>
        <v>15360</v>
      </c>
      <c r="AY17" s="2">
        <f t="shared" si="29"/>
        <v>4.2666666666666666</v>
      </c>
    </row>
    <row r="18" spans="1:51" x14ac:dyDescent="0.3">
      <c r="A18" s="2" t="s">
        <v>22</v>
      </c>
      <c r="B18">
        <v>1040</v>
      </c>
      <c r="C18">
        <v>1040</v>
      </c>
      <c r="D18" s="2">
        <f t="shared" si="0"/>
        <v>2080</v>
      </c>
      <c r="E18" s="2">
        <f t="shared" si="1"/>
        <v>16640</v>
      </c>
      <c r="F18" s="2">
        <f t="shared" si="2"/>
        <v>4.6222222222222218</v>
      </c>
      <c r="G18">
        <v>880</v>
      </c>
      <c r="H18">
        <v>880</v>
      </c>
      <c r="I18" s="2">
        <f t="shared" si="3"/>
        <v>1760</v>
      </c>
      <c r="J18" s="2">
        <f t="shared" si="4"/>
        <v>14080</v>
      </c>
      <c r="K18" s="2">
        <f t="shared" si="5"/>
        <v>3.911111111111111</v>
      </c>
      <c r="L18">
        <v>1120</v>
      </c>
      <c r="M18">
        <v>1120</v>
      </c>
      <c r="N18" s="2">
        <f t="shared" si="6"/>
        <v>2240</v>
      </c>
      <c r="O18" s="2">
        <f t="shared" si="7"/>
        <v>17920</v>
      </c>
      <c r="P18" s="2">
        <f t="shared" si="8"/>
        <v>4.9777777777777779</v>
      </c>
      <c r="Q18">
        <v>1040</v>
      </c>
      <c r="R18">
        <v>1040</v>
      </c>
      <c r="S18" s="2">
        <f t="shared" si="9"/>
        <v>2080</v>
      </c>
      <c r="T18" s="2">
        <f t="shared" si="10"/>
        <v>16640</v>
      </c>
      <c r="U18" s="2">
        <f t="shared" si="11"/>
        <v>4.6222222222222218</v>
      </c>
      <c r="V18">
        <v>1120</v>
      </c>
      <c r="W18">
        <v>1120</v>
      </c>
      <c r="X18" s="2">
        <f t="shared" si="12"/>
        <v>2240</v>
      </c>
      <c r="Y18" s="2">
        <f t="shared" si="13"/>
        <v>17920</v>
      </c>
      <c r="Z18" s="2">
        <f t="shared" si="14"/>
        <v>4.9777777777777779</v>
      </c>
      <c r="AA18">
        <v>1120</v>
      </c>
      <c r="AB18">
        <v>1120</v>
      </c>
      <c r="AC18" s="2">
        <f t="shared" si="15"/>
        <v>2240</v>
      </c>
      <c r="AD18" s="2">
        <f t="shared" si="16"/>
        <v>17920</v>
      </c>
      <c r="AE18" s="2">
        <f t="shared" si="17"/>
        <v>4.9777777777777779</v>
      </c>
      <c r="AF18">
        <v>1040</v>
      </c>
      <c r="AG18">
        <v>1040</v>
      </c>
      <c r="AH18" s="2">
        <f t="shared" si="18"/>
        <v>2080</v>
      </c>
      <c r="AI18" s="2">
        <f t="shared" si="19"/>
        <v>16640</v>
      </c>
      <c r="AJ18" s="2">
        <f t="shared" si="20"/>
        <v>4.6222222222222218</v>
      </c>
      <c r="AK18">
        <v>1280</v>
      </c>
      <c r="AL18">
        <v>1280</v>
      </c>
      <c r="AM18" s="2">
        <f t="shared" si="21"/>
        <v>2560</v>
      </c>
      <c r="AN18" s="2">
        <f t="shared" si="22"/>
        <v>20480</v>
      </c>
      <c r="AO18" s="2">
        <f t="shared" si="23"/>
        <v>5.6888888888888891</v>
      </c>
      <c r="AP18">
        <v>1120</v>
      </c>
      <c r="AQ18">
        <v>1120</v>
      </c>
      <c r="AR18" s="2">
        <f t="shared" si="24"/>
        <v>2240</v>
      </c>
      <c r="AS18" s="2">
        <f t="shared" si="25"/>
        <v>17920</v>
      </c>
      <c r="AT18" s="2">
        <f t="shared" si="26"/>
        <v>4.9777777777777779</v>
      </c>
      <c r="AU18">
        <v>1040</v>
      </c>
      <c r="AV18">
        <v>1040</v>
      </c>
      <c r="AW18" s="2">
        <f t="shared" si="27"/>
        <v>2080</v>
      </c>
      <c r="AX18" s="2">
        <f t="shared" si="28"/>
        <v>16640</v>
      </c>
      <c r="AY18" s="2">
        <f t="shared" si="29"/>
        <v>4.6222222222222218</v>
      </c>
    </row>
    <row r="19" spans="1:51" x14ac:dyDescent="0.3">
      <c r="A19" s="2" t="s">
        <v>23</v>
      </c>
      <c r="B19">
        <v>1200</v>
      </c>
      <c r="C19">
        <v>1200</v>
      </c>
      <c r="D19" s="2">
        <f t="shared" si="0"/>
        <v>2400</v>
      </c>
      <c r="E19" s="2">
        <f t="shared" si="1"/>
        <v>19200</v>
      </c>
      <c r="F19" s="2">
        <f t="shared" si="2"/>
        <v>5.333333333333333</v>
      </c>
      <c r="G19">
        <v>1200</v>
      </c>
      <c r="H19">
        <v>1200</v>
      </c>
      <c r="I19" s="2">
        <f t="shared" si="3"/>
        <v>2400</v>
      </c>
      <c r="J19" s="2">
        <f t="shared" si="4"/>
        <v>19200</v>
      </c>
      <c r="K19" s="2">
        <f t="shared" si="5"/>
        <v>5.333333333333333</v>
      </c>
      <c r="L19">
        <v>1040</v>
      </c>
      <c r="M19">
        <v>1040</v>
      </c>
      <c r="N19" s="2">
        <f t="shared" si="6"/>
        <v>2080</v>
      </c>
      <c r="O19" s="2">
        <f t="shared" si="7"/>
        <v>16640</v>
      </c>
      <c r="P19" s="2">
        <f t="shared" si="8"/>
        <v>4.6222222222222218</v>
      </c>
      <c r="Q19">
        <v>720</v>
      </c>
      <c r="R19">
        <v>720</v>
      </c>
      <c r="S19" s="2">
        <f t="shared" si="9"/>
        <v>1440</v>
      </c>
      <c r="T19" s="2">
        <f t="shared" si="10"/>
        <v>11520</v>
      </c>
      <c r="U19" s="2">
        <f t="shared" si="11"/>
        <v>3.2</v>
      </c>
      <c r="V19">
        <v>1200</v>
      </c>
      <c r="W19">
        <v>1200</v>
      </c>
      <c r="X19" s="2">
        <f t="shared" si="12"/>
        <v>2400</v>
      </c>
      <c r="Y19" s="2">
        <f t="shared" si="13"/>
        <v>19200</v>
      </c>
      <c r="Z19" s="2">
        <f t="shared" si="14"/>
        <v>5.333333333333333</v>
      </c>
      <c r="AA19">
        <v>1120</v>
      </c>
      <c r="AB19">
        <v>1120</v>
      </c>
      <c r="AC19" s="2">
        <f t="shared" si="15"/>
        <v>2240</v>
      </c>
      <c r="AD19" s="2">
        <f t="shared" si="16"/>
        <v>17920</v>
      </c>
      <c r="AE19" s="2">
        <f t="shared" si="17"/>
        <v>4.9777777777777779</v>
      </c>
      <c r="AF19">
        <v>1040</v>
      </c>
      <c r="AG19">
        <v>1040</v>
      </c>
      <c r="AH19" s="2">
        <f t="shared" si="18"/>
        <v>2080</v>
      </c>
      <c r="AI19" s="2">
        <f t="shared" si="19"/>
        <v>16640</v>
      </c>
      <c r="AJ19" s="2">
        <f t="shared" si="20"/>
        <v>4.6222222222222218</v>
      </c>
      <c r="AK19">
        <v>880</v>
      </c>
      <c r="AL19">
        <v>880</v>
      </c>
      <c r="AM19" s="2">
        <f t="shared" si="21"/>
        <v>1760</v>
      </c>
      <c r="AN19" s="2">
        <f t="shared" si="22"/>
        <v>14080</v>
      </c>
      <c r="AO19" s="2">
        <f t="shared" si="23"/>
        <v>3.911111111111111</v>
      </c>
      <c r="AP19">
        <v>1200</v>
      </c>
      <c r="AQ19">
        <v>1200</v>
      </c>
      <c r="AR19" s="2">
        <f t="shared" si="24"/>
        <v>2400</v>
      </c>
      <c r="AS19" s="2">
        <f t="shared" si="25"/>
        <v>19200</v>
      </c>
      <c r="AT19" s="2">
        <f t="shared" si="26"/>
        <v>5.333333333333333</v>
      </c>
      <c r="AU19">
        <v>1200</v>
      </c>
      <c r="AV19">
        <v>1200</v>
      </c>
      <c r="AW19" s="2">
        <f t="shared" si="27"/>
        <v>2400</v>
      </c>
      <c r="AX19" s="2">
        <f t="shared" si="28"/>
        <v>19200</v>
      </c>
      <c r="AY19" s="2">
        <f t="shared" si="29"/>
        <v>5.333333333333333</v>
      </c>
    </row>
    <row r="20" spans="1:51" x14ac:dyDescent="0.3">
      <c r="A20" s="2" t="s">
        <v>24</v>
      </c>
      <c r="B20">
        <v>1280</v>
      </c>
      <c r="C20">
        <v>1280</v>
      </c>
      <c r="D20" s="2">
        <f t="shared" si="0"/>
        <v>2560</v>
      </c>
      <c r="E20" s="2">
        <f t="shared" si="1"/>
        <v>20480</v>
      </c>
      <c r="F20" s="2">
        <f t="shared" si="2"/>
        <v>5.6888888888888891</v>
      </c>
      <c r="G20">
        <v>1040</v>
      </c>
      <c r="H20">
        <v>1040</v>
      </c>
      <c r="I20" s="2">
        <f t="shared" si="3"/>
        <v>2080</v>
      </c>
      <c r="J20" s="2">
        <f t="shared" si="4"/>
        <v>16640</v>
      </c>
      <c r="K20" s="2">
        <f t="shared" si="5"/>
        <v>4.6222222222222218</v>
      </c>
      <c r="L20">
        <v>1040</v>
      </c>
      <c r="M20">
        <v>1040</v>
      </c>
      <c r="N20" s="2">
        <f t="shared" si="6"/>
        <v>2080</v>
      </c>
      <c r="O20" s="2">
        <f t="shared" si="7"/>
        <v>16640</v>
      </c>
      <c r="P20" s="2">
        <f t="shared" si="8"/>
        <v>4.6222222222222218</v>
      </c>
      <c r="Q20">
        <v>800</v>
      </c>
      <c r="R20">
        <v>800</v>
      </c>
      <c r="S20" s="2">
        <f t="shared" si="9"/>
        <v>1600</v>
      </c>
      <c r="T20" s="2">
        <f t="shared" si="10"/>
        <v>12800</v>
      </c>
      <c r="U20" s="2">
        <f t="shared" si="11"/>
        <v>3.5555555555555554</v>
      </c>
      <c r="V20">
        <v>1120</v>
      </c>
      <c r="W20">
        <v>1120</v>
      </c>
      <c r="X20" s="2">
        <f t="shared" si="12"/>
        <v>2240</v>
      </c>
      <c r="Y20" s="2">
        <f t="shared" si="13"/>
        <v>17920</v>
      </c>
      <c r="Z20" s="2">
        <f t="shared" si="14"/>
        <v>4.9777777777777779</v>
      </c>
      <c r="AA20">
        <v>1120</v>
      </c>
      <c r="AB20">
        <v>1120</v>
      </c>
      <c r="AC20" s="2">
        <f t="shared" si="15"/>
        <v>2240</v>
      </c>
      <c r="AD20" s="2">
        <f t="shared" si="16"/>
        <v>17920</v>
      </c>
      <c r="AE20" s="2">
        <f t="shared" si="17"/>
        <v>4.9777777777777779</v>
      </c>
      <c r="AF20">
        <v>1040</v>
      </c>
      <c r="AG20">
        <v>1040</v>
      </c>
      <c r="AH20" s="2">
        <f t="shared" si="18"/>
        <v>2080</v>
      </c>
      <c r="AI20" s="2">
        <f t="shared" si="19"/>
        <v>16640</v>
      </c>
      <c r="AJ20" s="2">
        <f t="shared" si="20"/>
        <v>4.6222222222222218</v>
      </c>
      <c r="AK20">
        <v>1200</v>
      </c>
      <c r="AL20">
        <v>1200</v>
      </c>
      <c r="AM20" s="2">
        <f t="shared" si="21"/>
        <v>2400</v>
      </c>
      <c r="AN20" s="2">
        <f t="shared" si="22"/>
        <v>19200</v>
      </c>
      <c r="AO20" s="2">
        <f t="shared" si="23"/>
        <v>5.333333333333333</v>
      </c>
      <c r="AP20">
        <v>960</v>
      </c>
      <c r="AQ20">
        <v>960</v>
      </c>
      <c r="AR20" s="2">
        <f t="shared" si="24"/>
        <v>1920</v>
      </c>
      <c r="AS20" s="2">
        <f t="shared" si="25"/>
        <v>15360</v>
      </c>
      <c r="AT20" s="2">
        <f t="shared" si="26"/>
        <v>4.2666666666666666</v>
      </c>
      <c r="AU20">
        <v>1040</v>
      </c>
      <c r="AV20">
        <v>1040</v>
      </c>
      <c r="AW20" s="2">
        <f t="shared" si="27"/>
        <v>2080</v>
      </c>
      <c r="AX20" s="2">
        <f t="shared" si="28"/>
        <v>16640</v>
      </c>
      <c r="AY20" s="2">
        <f t="shared" si="29"/>
        <v>4.6222222222222218</v>
      </c>
    </row>
    <row r="21" spans="1:51" x14ac:dyDescent="0.3">
      <c r="A21" s="2" t="s">
        <v>25</v>
      </c>
      <c r="B21">
        <v>1040</v>
      </c>
      <c r="C21">
        <v>1040</v>
      </c>
      <c r="D21" s="2">
        <f t="shared" si="0"/>
        <v>2080</v>
      </c>
      <c r="E21" s="2">
        <f t="shared" si="1"/>
        <v>16640</v>
      </c>
      <c r="F21" s="2">
        <f t="shared" si="2"/>
        <v>4.6222222222222218</v>
      </c>
      <c r="G21">
        <v>960</v>
      </c>
      <c r="H21">
        <v>960</v>
      </c>
      <c r="I21" s="2">
        <f t="shared" si="3"/>
        <v>1920</v>
      </c>
      <c r="J21" s="2">
        <f t="shared" si="4"/>
        <v>15360</v>
      </c>
      <c r="K21" s="2">
        <f t="shared" si="5"/>
        <v>4.2666666666666666</v>
      </c>
      <c r="L21">
        <v>1040</v>
      </c>
      <c r="M21">
        <v>1040</v>
      </c>
      <c r="N21" s="2">
        <f t="shared" si="6"/>
        <v>2080</v>
      </c>
      <c r="O21" s="2">
        <f t="shared" si="7"/>
        <v>16640</v>
      </c>
      <c r="P21" s="2">
        <f t="shared" si="8"/>
        <v>4.6222222222222218</v>
      </c>
      <c r="Q21">
        <v>1120</v>
      </c>
      <c r="R21">
        <v>1120</v>
      </c>
      <c r="S21" s="2">
        <f t="shared" si="9"/>
        <v>2240</v>
      </c>
      <c r="T21" s="2">
        <f t="shared" si="10"/>
        <v>17920</v>
      </c>
      <c r="U21" s="2">
        <f t="shared" si="11"/>
        <v>4.9777777777777779</v>
      </c>
      <c r="V21">
        <v>800</v>
      </c>
      <c r="W21">
        <v>800</v>
      </c>
      <c r="X21" s="2">
        <f t="shared" si="12"/>
        <v>1600</v>
      </c>
      <c r="Y21" s="2">
        <f t="shared" si="13"/>
        <v>12800</v>
      </c>
      <c r="Z21" s="2">
        <f t="shared" si="14"/>
        <v>3.5555555555555554</v>
      </c>
      <c r="AA21">
        <v>1120</v>
      </c>
      <c r="AB21">
        <v>1120</v>
      </c>
      <c r="AC21" s="2">
        <f t="shared" si="15"/>
        <v>2240</v>
      </c>
      <c r="AD21" s="2">
        <f t="shared" si="16"/>
        <v>17920</v>
      </c>
      <c r="AE21" s="2">
        <f t="shared" si="17"/>
        <v>4.9777777777777779</v>
      </c>
      <c r="AF21">
        <v>1120</v>
      </c>
      <c r="AG21">
        <v>1120</v>
      </c>
      <c r="AH21" s="2">
        <f t="shared" si="18"/>
        <v>2240</v>
      </c>
      <c r="AI21" s="2">
        <f t="shared" si="19"/>
        <v>17920</v>
      </c>
      <c r="AJ21" s="2">
        <f t="shared" si="20"/>
        <v>4.9777777777777779</v>
      </c>
      <c r="AK21">
        <v>1120</v>
      </c>
      <c r="AL21">
        <v>1120</v>
      </c>
      <c r="AM21" s="2">
        <f t="shared" si="21"/>
        <v>2240</v>
      </c>
      <c r="AN21" s="2">
        <f t="shared" si="22"/>
        <v>17920</v>
      </c>
      <c r="AO21" s="2">
        <f t="shared" si="23"/>
        <v>4.9777777777777779</v>
      </c>
      <c r="AP21">
        <v>960</v>
      </c>
      <c r="AQ21">
        <v>960</v>
      </c>
      <c r="AR21" s="2">
        <f t="shared" si="24"/>
        <v>1920</v>
      </c>
      <c r="AS21" s="2">
        <f t="shared" si="25"/>
        <v>15360</v>
      </c>
      <c r="AT21" s="2">
        <f t="shared" si="26"/>
        <v>4.2666666666666666</v>
      </c>
      <c r="AU21">
        <v>960</v>
      </c>
      <c r="AV21">
        <v>960</v>
      </c>
      <c r="AW21" s="2">
        <f t="shared" si="27"/>
        <v>1920</v>
      </c>
      <c r="AX21" s="2">
        <f t="shared" si="28"/>
        <v>15360</v>
      </c>
      <c r="AY21" s="2">
        <f t="shared" si="29"/>
        <v>4.2666666666666666</v>
      </c>
    </row>
    <row r="22" spans="1:51" x14ac:dyDescent="0.3">
      <c r="A22" s="2" t="s">
        <v>26</v>
      </c>
      <c r="B22">
        <v>1200</v>
      </c>
      <c r="C22">
        <v>1200</v>
      </c>
      <c r="D22" s="2">
        <f t="shared" si="0"/>
        <v>2400</v>
      </c>
      <c r="E22" s="2">
        <f t="shared" si="1"/>
        <v>19200</v>
      </c>
      <c r="F22" s="2">
        <f t="shared" si="2"/>
        <v>5.333333333333333</v>
      </c>
      <c r="G22">
        <v>1040</v>
      </c>
      <c r="H22">
        <v>1040</v>
      </c>
      <c r="I22" s="2">
        <f t="shared" si="3"/>
        <v>2080</v>
      </c>
      <c r="J22" s="2">
        <f t="shared" si="4"/>
        <v>16640</v>
      </c>
      <c r="K22" s="2">
        <f t="shared" si="5"/>
        <v>4.6222222222222218</v>
      </c>
      <c r="L22">
        <v>1120</v>
      </c>
      <c r="M22">
        <v>1120</v>
      </c>
      <c r="N22" s="2">
        <f t="shared" si="6"/>
        <v>2240</v>
      </c>
      <c r="O22" s="2">
        <f t="shared" si="7"/>
        <v>17920</v>
      </c>
      <c r="P22" s="2">
        <f t="shared" si="8"/>
        <v>4.9777777777777779</v>
      </c>
      <c r="Q22">
        <v>1360</v>
      </c>
      <c r="R22">
        <v>1360</v>
      </c>
      <c r="S22" s="2">
        <f t="shared" si="9"/>
        <v>2720</v>
      </c>
      <c r="T22" s="2">
        <f t="shared" si="10"/>
        <v>21760</v>
      </c>
      <c r="U22" s="2">
        <f t="shared" si="11"/>
        <v>6.0444444444444443</v>
      </c>
      <c r="V22">
        <v>960</v>
      </c>
      <c r="W22">
        <v>960</v>
      </c>
      <c r="X22" s="2">
        <f t="shared" si="12"/>
        <v>1920</v>
      </c>
      <c r="Y22" s="2">
        <f t="shared" si="13"/>
        <v>15360</v>
      </c>
      <c r="Z22" s="2">
        <f t="shared" si="14"/>
        <v>4.2666666666666666</v>
      </c>
      <c r="AA22">
        <v>1040</v>
      </c>
      <c r="AB22">
        <v>1040</v>
      </c>
      <c r="AC22" s="2">
        <f t="shared" si="15"/>
        <v>2080</v>
      </c>
      <c r="AD22" s="2">
        <f t="shared" si="16"/>
        <v>16640</v>
      </c>
      <c r="AE22" s="2">
        <f t="shared" si="17"/>
        <v>4.6222222222222218</v>
      </c>
      <c r="AF22">
        <v>1040</v>
      </c>
      <c r="AG22">
        <v>1040</v>
      </c>
      <c r="AH22" s="2">
        <f t="shared" si="18"/>
        <v>2080</v>
      </c>
      <c r="AI22" s="2">
        <f t="shared" si="19"/>
        <v>16640</v>
      </c>
      <c r="AJ22" s="2">
        <f t="shared" si="20"/>
        <v>4.6222222222222218</v>
      </c>
      <c r="AK22">
        <v>1360</v>
      </c>
      <c r="AL22">
        <v>1360</v>
      </c>
      <c r="AM22" s="2">
        <f t="shared" si="21"/>
        <v>2720</v>
      </c>
      <c r="AN22" s="2">
        <f t="shared" si="22"/>
        <v>21760</v>
      </c>
      <c r="AO22" s="2">
        <f t="shared" si="23"/>
        <v>6.0444444444444443</v>
      </c>
      <c r="AP22">
        <v>1200</v>
      </c>
      <c r="AQ22">
        <v>1200</v>
      </c>
      <c r="AR22" s="2">
        <f t="shared" si="24"/>
        <v>2400</v>
      </c>
      <c r="AS22" s="2">
        <f t="shared" si="25"/>
        <v>19200</v>
      </c>
      <c r="AT22" s="2">
        <f t="shared" si="26"/>
        <v>5.333333333333333</v>
      </c>
      <c r="AU22">
        <v>1040</v>
      </c>
      <c r="AV22">
        <v>1040</v>
      </c>
      <c r="AW22" s="2">
        <f t="shared" si="27"/>
        <v>2080</v>
      </c>
      <c r="AX22" s="2">
        <f t="shared" si="28"/>
        <v>16640</v>
      </c>
      <c r="AY22" s="2">
        <f t="shared" si="29"/>
        <v>4.6222222222222218</v>
      </c>
    </row>
    <row r="23" spans="1:51" x14ac:dyDescent="0.3">
      <c r="A23" s="2" t="s">
        <v>27</v>
      </c>
      <c r="B23">
        <v>1200</v>
      </c>
      <c r="C23">
        <v>1200</v>
      </c>
      <c r="D23" s="2">
        <f t="shared" si="0"/>
        <v>2400</v>
      </c>
      <c r="E23" s="2">
        <f t="shared" si="1"/>
        <v>19200</v>
      </c>
      <c r="F23" s="2">
        <f t="shared" si="2"/>
        <v>5.333333333333333</v>
      </c>
      <c r="G23">
        <v>880</v>
      </c>
      <c r="H23">
        <v>880</v>
      </c>
      <c r="I23" s="2">
        <f t="shared" si="3"/>
        <v>1760</v>
      </c>
      <c r="J23" s="2">
        <f t="shared" si="4"/>
        <v>14080</v>
      </c>
      <c r="K23" s="2">
        <f t="shared" si="5"/>
        <v>3.911111111111111</v>
      </c>
      <c r="L23">
        <v>1200</v>
      </c>
      <c r="M23">
        <v>1200</v>
      </c>
      <c r="N23" s="2">
        <f t="shared" si="6"/>
        <v>2400</v>
      </c>
      <c r="O23" s="2">
        <f t="shared" si="7"/>
        <v>19200</v>
      </c>
      <c r="P23" s="2">
        <f t="shared" si="8"/>
        <v>5.333333333333333</v>
      </c>
      <c r="Q23">
        <v>880</v>
      </c>
      <c r="R23">
        <v>880</v>
      </c>
      <c r="S23" s="2">
        <f t="shared" si="9"/>
        <v>1760</v>
      </c>
      <c r="T23" s="2">
        <f t="shared" si="10"/>
        <v>14080</v>
      </c>
      <c r="U23" s="2">
        <f t="shared" si="11"/>
        <v>3.911111111111111</v>
      </c>
      <c r="V23">
        <v>960</v>
      </c>
      <c r="W23">
        <v>960</v>
      </c>
      <c r="X23" s="2">
        <f t="shared" si="12"/>
        <v>1920</v>
      </c>
      <c r="Y23" s="2">
        <f t="shared" si="13"/>
        <v>15360</v>
      </c>
      <c r="Z23" s="2">
        <f t="shared" si="14"/>
        <v>4.2666666666666666</v>
      </c>
      <c r="AA23">
        <v>1200</v>
      </c>
      <c r="AB23">
        <v>1200</v>
      </c>
      <c r="AC23" s="2">
        <f t="shared" si="15"/>
        <v>2400</v>
      </c>
      <c r="AD23" s="2">
        <f t="shared" si="16"/>
        <v>19200</v>
      </c>
      <c r="AE23" s="2">
        <f t="shared" si="17"/>
        <v>5.333333333333333</v>
      </c>
      <c r="AF23">
        <v>1120</v>
      </c>
      <c r="AG23">
        <v>1120</v>
      </c>
      <c r="AH23" s="2">
        <f t="shared" si="18"/>
        <v>2240</v>
      </c>
      <c r="AI23" s="2">
        <f t="shared" si="19"/>
        <v>17920</v>
      </c>
      <c r="AJ23" s="2">
        <f t="shared" si="20"/>
        <v>4.9777777777777779</v>
      </c>
      <c r="AK23">
        <v>1200</v>
      </c>
      <c r="AL23">
        <v>1200</v>
      </c>
      <c r="AM23" s="2">
        <f t="shared" si="21"/>
        <v>2400</v>
      </c>
      <c r="AN23" s="2">
        <f t="shared" si="22"/>
        <v>19200</v>
      </c>
      <c r="AO23" s="2">
        <f t="shared" si="23"/>
        <v>5.333333333333333</v>
      </c>
      <c r="AP23">
        <v>1200</v>
      </c>
      <c r="AQ23">
        <v>1200</v>
      </c>
      <c r="AR23" s="2">
        <f t="shared" si="24"/>
        <v>2400</v>
      </c>
      <c r="AS23" s="2">
        <f t="shared" si="25"/>
        <v>19200</v>
      </c>
      <c r="AT23" s="2">
        <f t="shared" si="26"/>
        <v>5.333333333333333</v>
      </c>
      <c r="AU23">
        <v>1040</v>
      </c>
      <c r="AV23">
        <v>1040</v>
      </c>
      <c r="AW23" s="2">
        <f t="shared" si="27"/>
        <v>2080</v>
      </c>
      <c r="AX23" s="2">
        <f t="shared" si="28"/>
        <v>16640</v>
      </c>
      <c r="AY23" s="2">
        <f t="shared" si="29"/>
        <v>4.6222222222222218</v>
      </c>
    </row>
    <row r="24" spans="1:51" x14ac:dyDescent="0.3">
      <c r="A24" s="2" t="s">
        <v>28</v>
      </c>
      <c r="B24">
        <v>1120</v>
      </c>
      <c r="C24">
        <v>1120</v>
      </c>
      <c r="D24" s="2">
        <f t="shared" si="0"/>
        <v>2240</v>
      </c>
      <c r="E24" s="2">
        <f t="shared" si="1"/>
        <v>17920</v>
      </c>
      <c r="F24" s="2">
        <f t="shared" si="2"/>
        <v>4.9777777777777779</v>
      </c>
      <c r="G24">
        <v>1040</v>
      </c>
      <c r="H24">
        <v>1040</v>
      </c>
      <c r="I24" s="2">
        <f t="shared" si="3"/>
        <v>2080</v>
      </c>
      <c r="J24" s="2">
        <f t="shared" si="4"/>
        <v>16640</v>
      </c>
      <c r="K24" s="2">
        <f t="shared" si="5"/>
        <v>4.6222222222222218</v>
      </c>
      <c r="L24">
        <v>960</v>
      </c>
      <c r="M24">
        <v>960</v>
      </c>
      <c r="N24" s="2">
        <f t="shared" si="6"/>
        <v>1920</v>
      </c>
      <c r="O24" s="2">
        <f t="shared" si="7"/>
        <v>15360</v>
      </c>
      <c r="P24" s="2">
        <f t="shared" si="8"/>
        <v>4.2666666666666666</v>
      </c>
      <c r="Q24">
        <v>1200</v>
      </c>
      <c r="R24">
        <v>1200</v>
      </c>
      <c r="S24" s="2">
        <f t="shared" si="9"/>
        <v>2400</v>
      </c>
      <c r="T24" s="2">
        <f t="shared" si="10"/>
        <v>19200</v>
      </c>
      <c r="U24" s="2">
        <f t="shared" si="11"/>
        <v>5.333333333333333</v>
      </c>
      <c r="V24">
        <v>1200</v>
      </c>
      <c r="W24">
        <v>1200</v>
      </c>
      <c r="X24" s="2">
        <f t="shared" si="12"/>
        <v>2400</v>
      </c>
      <c r="Y24" s="2">
        <f t="shared" si="13"/>
        <v>19200</v>
      </c>
      <c r="Z24" s="2">
        <f t="shared" si="14"/>
        <v>5.333333333333333</v>
      </c>
      <c r="AA24">
        <v>1200</v>
      </c>
      <c r="AB24">
        <v>1200</v>
      </c>
      <c r="AC24" s="2">
        <f t="shared" si="15"/>
        <v>2400</v>
      </c>
      <c r="AD24" s="2">
        <f t="shared" si="16"/>
        <v>19200</v>
      </c>
      <c r="AE24" s="2">
        <f t="shared" si="17"/>
        <v>5.333333333333333</v>
      </c>
      <c r="AF24">
        <v>1280</v>
      </c>
      <c r="AG24">
        <v>1280</v>
      </c>
      <c r="AH24" s="2">
        <f t="shared" si="18"/>
        <v>2560</v>
      </c>
      <c r="AI24" s="2">
        <f t="shared" si="19"/>
        <v>20480</v>
      </c>
      <c r="AJ24" s="2">
        <f t="shared" si="20"/>
        <v>5.6888888888888891</v>
      </c>
      <c r="AK24">
        <v>1120</v>
      </c>
      <c r="AL24">
        <v>1120</v>
      </c>
      <c r="AM24" s="2">
        <f t="shared" si="21"/>
        <v>2240</v>
      </c>
      <c r="AN24" s="2">
        <f t="shared" si="22"/>
        <v>17920</v>
      </c>
      <c r="AO24" s="2">
        <f t="shared" si="23"/>
        <v>4.9777777777777779</v>
      </c>
      <c r="AP24">
        <v>1120</v>
      </c>
      <c r="AQ24">
        <v>1120</v>
      </c>
      <c r="AR24" s="2">
        <f t="shared" si="24"/>
        <v>2240</v>
      </c>
      <c r="AS24" s="2">
        <f t="shared" si="25"/>
        <v>17920</v>
      </c>
      <c r="AT24" s="2">
        <f t="shared" si="26"/>
        <v>4.9777777777777779</v>
      </c>
      <c r="AU24">
        <v>1120</v>
      </c>
      <c r="AV24">
        <v>1120</v>
      </c>
      <c r="AW24" s="2">
        <f t="shared" si="27"/>
        <v>2240</v>
      </c>
      <c r="AX24" s="2">
        <f t="shared" si="28"/>
        <v>17920</v>
      </c>
      <c r="AY24" s="2">
        <f t="shared" si="29"/>
        <v>4.9777777777777779</v>
      </c>
    </row>
    <row r="25" spans="1:51" x14ac:dyDescent="0.3">
      <c r="A25" s="2" t="s">
        <v>29</v>
      </c>
      <c r="B25">
        <v>1200</v>
      </c>
      <c r="C25">
        <v>1200</v>
      </c>
      <c r="D25" s="2">
        <f t="shared" si="0"/>
        <v>2400</v>
      </c>
      <c r="E25" s="2">
        <f t="shared" si="1"/>
        <v>19200</v>
      </c>
      <c r="F25" s="2">
        <f t="shared" si="2"/>
        <v>5.333333333333333</v>
      </c>
      <c r="G25">
        <v>1040</v>
      </c>
      <c r="H25">
        <v>1040</v>
      </c>
      <c r="I25" s="2">
        <f t="shared" si="3"/>
        <v>2080</v>
      </c>
      <c r="J25" s="2">
        <f t="shared" si="4"/>
        <v>16640</v>
      </c>
      <c r="K25" s="2">
        <f t="shared" si="5"/>
        <v>4.6222222222222218</v>
      </c>
      <c r="L25">
        <v>1120</v>
      </c>
      <c r="M25">
        <v>1120</v>
      </c>
      <c r="N25" s="2">
        <f t="shared" si="6"/>
        <v>2240</v>
      </c>
      <c r="O25" s="2">
        <f t="shared" si="7"/>
        <v>17920</v>
      </c>
      <c r="P25" s="2">
        <f t="shared" si="8"/>
        <v>4.9777777777777779</v>
      </c>
      <c r="Q25">
        <v>1200</v>
      </c>
      <c r="R25">
        <v>1200</v>
      </c>
      <c r="S25" s="2">
        <f t="shared" si="9"/>
        <v>2400</v>
      </c>
      <c r="T25" s="2">
        <f t="shared" si="10"/>
        <v>19200</v>
      </c>
      <c r="U25" s="2">
        <f t="shared" si="11"/>
        <v>5.333333333333333</v>
      </c>
      <c r="V25">
        <v>1120</v>
      </c>
      <c r="W25">
        <v>1120</v>
      </c>
      <c r="X25" s="2">
        <f t="shared" si="12"/>
        <v>2240</v>
      </c>
      <c r="Y25" s="2">
        <f t="shared" si="13"/>
        <v>17920</v>
      </c>
      <c r="Z25" s="2">
        <f t="shared" si="14"/>
        <v>4.9777777777777779</v>
      </c>
      <c r="AA25">
        <v>1120</v>
      </c>
      <c r="AB25">
        <v>1120</v>
      </c>
      <c r="AC25" s="2">
        <f t="shared" si="15"/>
        <v>2240</v>
      </c>
      <c r="AD25" s="2">
        <f t="shared" si="16"/>
        <v>17920</v>
      </c>
      <c r="AE25" s="2">
        <f t="shared" si="17"/>
        <v>4.9777777777777779</v>
      </c>
      <c r="AF25">
        <v>1120</v>
      </c>
      <c r="AG25">
        <v>1120</v>
      </c>
      <c r="AH25" s="2">
        <f t="shared" si="18"/>
        <v>2240</v>
      </c>
      <c r="AI25" s="2">
        <f t="shared" si="19"/>
        <v>17920</v>
      </c>
      <c r="AJ25" s="2">
        <f t="shared" si="20"/>
        <v>4.9777777777777779</v>
      </c>
      <c r="AK25">
        <v>1120</v>
      </c>
      <c r="AL25">
        <v>1120</v>
      </c>
      <c r="AM25" s="2">
        <f t="shared" si="21"/>
        <v>2240</v>
      </c>
      <c r="AN25" s="2">
        <f t="shared" si="22"/>
        <v>17920</v>
      </c>
      <c r="AO25" s="2">
        <f t="shared" si="23"/>
        <v>4.9777777777777779</v>
      </c>
      <c r="AP25">
        <v>1120</v>
      </c>
      <c r="AQ25">
        <v>1120</v>
      </c>
      <c r="AR25" s="2">
        <f t="shared" si="24"/>
        <v>2240</v>
      </c>
      <c r="AS25" s="2">
        <f t="shared" si="25"/>
        <v>17920</v>
      </c>
      <c r="AT25" s="2">
        <f t="shared" si="26"/>
        <v>4.9777777777777779</v>
      </c>
      <c r="AU25">
        <v>1120</v>
      </c>
      <c r="AV25">
        <v>1120</v>
      </c>
      <c r="AW25" s="2">
        <f t="shared" si="27"/>
        <v>2240</v>
      </c>
      <c r="AX25" s="2">
        <f t="shared" si="28"/>
        <v>17920</v>
      </c>
      <c r="AY25" s="2">
        <f t="shared" si="29"/>
        <v>4.9777777777777779</v>
      </c>
    </row>
    <row r="26" spans="1:51" x14ac:dyDescent="0.3">
      <c r="A26" s="2" t="s">
        <v>30</v>
      </c>
      <c r="B26">
        <v>800</v>
      </c>
      <c r="C26">
        <v>800</v>
      </c>
      <c r="D26" s="2">
        <f t="shared" si="0"/>
        <v>1600</v>
      </c>
      <c r="E26" s="2">
        <f t="shared" si="1"/>
        <v>12800</v>
      </c>
      <c r="F26" s="2">
        <f t="shared" si="2"/>
        <v>3.5555555555555554</v>
      </c>
      <c r="G26">
        <v>1200</v>
      </c>
      <c r="H26">
        <v>1200</v>
      </c>
      <c r="I26" s="2">
        <f t="shared" si="3"/>
        <v>2400</v>
      </c>
      <c r="J26" s="2">
        <f t="shared" si="4"/>
        <v>19200</v>
      </c>
      <c r="K26" s="2">
        <f t="shared" si="5"/>
        <v>5.333333333333333</v>
      </c>
      <c r="L26">
        <v>1120</v>
      </c>
      <c r="M26">
        <v>1120</v>
      </c>
      <c r="N26" s="2">
        <f t="shared" si="6"/>
        <v>2240</v>
      </c>
      <c r="O26" s="2">
        <f t="shared" si="7"/>
        <v>17920</v>
      </c>
      <c r="P26" s="2">
        <f t="shared" si="8"/>
        <v>4.9777777777777779</v>
      </c>
      <c r="Q26">
        <v>1040</v>
      </c>
      <c r="R26">
        <v>1040</v>
      </c>
      <c r="S26" s="2">
        <f t="shared" si="9"/>
        <v>2080</v>
      </c>
      <c r="T26" s="2">
        <f t="shared" si="10"/>
        <v>16640</v>
      </c>
      <c r="U26" s="2">
        <f t="shared" si="11"/>
        <v>4.6222222222222218</v>
      </c>
      <c r="V26">
        <v>1200</v>
      </c>
      <c r="W26">
        <v>1200</v>
      </c>
      <c r="X26" s="2">
        <f t="shared" si="12"/>
        <v>2400</v>
      </c>
      <c r="Y26" s="2">
        <f t="shared" si="13"/>
        <v>19200</v>
      </c>
      <c r="Z26" s="2">
        <f t="shared" si="14"/>
        <v>5.333333333333333</v>
      </c>
      <c r="AA26">
        <v>1120</v>
      </c>
      <c r="AB26">
        <v>1120</v>
      </c>
      <c r="AC26" s="2">
        <f t="shared" si="15"/>
        <v>2240</v>
      </c>
      <c r="AD26" s="2">
        <f t="shared" si="16"/>
        <v>17920</v>
      </c>
      <c r="AE26" s="2">
        <f t="shared" si="17"/>
        <v>4.9777777777777779</v>
      </c>
      <c r="AF26">
        <v>960</v>
      </c>
      <c r="AG26">
        <v>960</v>
      </c>
      <c r="AH26" s="2">
        <f t="shared" si="18"/>
        <v>1920</v>
      </c>
      <c r="AI26" s="2">
        <f t="shared" si="19"/>
        <v>15360</v>
      </c>
      <c r="AJ26" s="2">
        <f t="shared" si="20"/>
        <v>4.2666666666666666</v>
      </c>
      <c r="AK26">
        <v>1120</v>
      </c>
      <c r="AL26">
        <v>1120</v>
      </c>
      <c r="AM26" s="2">
        <f t="shared" si="21"/>
        <v>2240</v>
      </c>
      <c r="AN26" s="2">
        <f t="shared" si="22"/>
        <v>17920</v>
      </c>
      <c r="AO26" s="2">
        <f t="shared" si="23"/>
        <v>4.9777777777777779</v>
      </c>
      <c r="AP26">
        <v>1040</v>
      </c>
      <c r="AQ26">
        <v>1040</v>
      </c>
      <c r="AR26" s="2">
        <f t="shared" si="24"/>
        <v>2080</v>
      </c>
      <c r="AS26" s="2">
        <f t="shared" si="25"/>
        <v>16640</v>
      </c>
      <c r="AT26" s="2">
        <f t="shared" si="26"/>
        <v>4.6222222222222218</v>
      </c>
      <c r="AU26">
        <v>960</v>
      </c>
      <c r="AV26">
        <v>960</v>
      </c>
      <c r="AW26" s="2">
        <f t="shared" si="27"/>
        <v>1920</v>
      </c>
      <c r="AX26" s="2">
        <f t="shared" si="28"/>
        <v>15360</v>
      </c>
      <c r="AY26" s="2">
        <f t="shared" si="29"/>
        <v>4.2666666666666666</v>
      </c>
    </row>
    <row r="27" spans="1:51" x14ac:dyDescent="0.3">
      <c r="A27" s="2" t="s">
        <v>31</v>
      </c>
      <c r="B27">
        <v>960</v>
      </c>
      <c r="C27">
        <v>960</v>
      </c>
      <c r="D27" s="2">
        <f t="shared" si="0"/>
        <v>1920</v>
      </c>
      <c r="E27" s="2">
        <f t="shared" si="1"/>
        <v>15360</v>
      </c>
      <c r="F27" s="2">
        <f t="shared" si="2"/>
        <v>4.2666666666666666</v>
      </c>
      <c r="G27">
        <v>960</v>
      </c>
      <c r="H27">
        <v>960</v>
      </c>
      <c r="I27" s="2">
        <f t="shared" si="3"/>
        <v>1920</v>
      </c>
      <c r="J27" s="2">
        <f t="shared" si="4"/>
        <v>15360</v>
      </c>
      <c r="K27" s="2">
        <f t="shared" si="5"/>
        <v>4.2666666666666666</v>
      </c>
      <c r="L27">
        <v>960</v>
      </c>
      <c r="M27">
        <v>960</v>
      </c>
      <c r="N27" s="2">
        <f t="shared" si="6"/>
        <v>1920</v>
      </c>
      <c r="O27" s="2">
        <f t="shared" si="7"/>
        <v>15360</v>
      </c>
      <c r="P27" s="2">
        <f t="shared" si="8"/>
        <v>4.2666666666666666</v>
      </c>
      <c r="Q27">
        <v>1120</v>
      </c>
      <c r="R27">
        <v>1120</v>
      </c>
      <c r="S27" s="2">
        <f t="shared" si="9"/>
        <v>2240</v>
      </c>
      <c r="T27" s="2">
        <f t="shared" si="10"/>
        <v>17920</v>
      </c>
      <c r="U27" s="2">
        <f t="shared" si="11"/>
        <v>4.9777777777777779</v>
      </c>
      <c r="V27">
        <v>1040</v>
      </c>
      <c r="W27">
        <v>1040</v>
      </c>
      <c r="X27" s="2">
        <f t="shared" si="12"/>
        <v>2080</v>
      </c>
      <c r="Y27" s="2">
        <f t="shared" si="13"/>
        <v>16640</v>
      </c>
      <c r="Z27" s="2">
        <f t="shared" si="14"/>
        <v>4.6222222222222218</v>
      </c>
      <c r="AA27">
        <v>960</v>
      </c>
      <c r="AB27">
        <v>960</v>
      </c>
      <c r="AC27" s="2">
        <f t="shared" si="15"/>
        <v>1920</v>
      </c>
      <c r="AD27" s="2">
        <f t="shared" si="16"/>
        <v>15360</v>
      </c>
      <c r="AE27" s="2">
        <f t="shared" si="17"/>
        <v>4.2666666666666666</v>
      </c>
      <c r="AF27">
        <v>960</v>
      </c>
      <c r="AG27">
        <v>960</v>
      </c>
      <c r="AH27" s="2">
        <f t="shared" si="18"/>
        <v>1920</v>
      </c>
      <c r="AI27" s="2">
        <f t="shared" si="19"/>
        <v>15360</v>
      </c>
      <c r="AJ27" s="2">
        <f t="shared" si="20"/>
        <v>4.2666666666666666</v>
      </c>
      <c r="AK27">
        <v>1040</v>
      </c>
      <c r="AL27">
        <v>1040</v>
      </c>
      <c r="AM27" s="2">
        <f t="shared" si="21"/>
        <v>2080</v>
      </c>
      <c r="AN27" s="2">
        <f t="shared" si="22"/>
        <v>16640</v>
      </c>
      <c r="AO27" s="2">
        <f t="shared" si="23"/>
        <v>4.6222222222222218</v>
      </c>
      <c r="AP27">
        <v>960</v>
      </c>
      <c r="AQ27">
        <v>960</v>
      </c>
      <c r="AR27" s="2">
        <f t="shared" si="24"/>
        <v>1920</v>
      </c>
      <c r="AS27" s="2">
        <f t="shared" si="25"/>
        <v>15360</v>
      </c>
      <c r="AT27" s="2">
        <f t="shared" si="26"/>
        <v>4.2666666666666666</v>
      </c>
      <c r="AU27">
        <v>1120</v>
      </c>
      <c r="AV27">
        <v>1120</v>
      </c>
      <c r="AW27" s="2">
        <f t="shared" si="27"/>
        <v>2240</v>
      </c>
      <c r="AX27" s="2">
        <f t="shared" si="28"/>
        <v>17920</v>
      </c>
      <c r="AY27" s="2">
        <f t="shared" si="29"/>
        <v>4.9777777777777779</v>
      </c>
    </row>
    <row r="28" spans="1:51" x14ac:dyDescent="0.3">
      <c r="A28" s="2" t="s">
        <v>32</v>
      </c>
      <c r="B28">
        <v>1120</v>
      </c>
      <c r="C28">
        <v>1120</v>
      </c>
      <c r="D28" s="2">
        <f t="shared" si="0"/>
        <v>2240</v>
      </c>
      <c r="E28" s="2">
        <f t="shared" si="1"/>
        <v>17920</v>
      </c>
      <c r="F28" s="2">
        <f t="shared" si="2"/>
        <v>4.9777777777777779</v>
      </c>
      <c r="G28">
        <v>1120</v>
      </c>
      <c r="H28">
        <v>1120</v>
      </c>
      <c r="I28" s="2">
        <f t="shared" si="3"/>
        <v>2240</v>
      </c>
      <c r="J28" s="2">
        <f t="shared" si="4"/>
        <v>17920</v>
      </c>
      <c r="K28" s="2">
        <f t="shared" si="5"/>
        <v>4.9777777777777779</v>
      </c>
      <c r="L28">
        <v>1120</v>
      </c>
      <c r="M28">
        <v>1120</v>
      </c>
      <c r="N28" s="2">
        <f t="shared" si="6"/>
        <v>2240</v>
      </c>
      <c r="O28" s="2">
        <f t="shared" si="7"/>
        <v>17920</v>
      </c>
      <c r="P28" s="2">
        <f t="shared" si="8"/>
        <v>4.9777777777777779</v>
      </c>
      <c r="Q28">
        <v>1200</v>
      </c>
      <c r="R28">
        <v>1200</v>
      </c>
      <c r="S28" s="2">
        <f t="shared" si="9"/>
        <v>2400</v>
      </c>
      <c r="T28" s="2">
        <f t="shared" si="10"/>
        <v>19200</v>
      </c>
      <c r="U28" s="2">
        <f t="shared" si="11"/>
        <v>5.333333333333333</v>
      </c>
      <c r="V28">
        <v>880</v>
      </c>
      <c r="W28">
        <v>880</v>
      </c>
      <c r="X28" s="2">
        <f t="shared" si="12"/>
        <v>1760</v>
      </c>
      <c r="Y28" s="2">
        <f t="shared" si="13"/>
        <v>14080</v>
      </c>
      <c r="Z28" s="2">
        <f t="shared" si="14"/>
        <v>3.911111111111111</v>
      </c>
      <c r="AA28">
        <v>720</v>
      </c>
      <c r="AB28">
        <v>720</v>
      </c>
      <c r="AC28" s="2">
        <f t="shared" si="15"/>
        <v>1440</v>
      </c>
      <c r="AD28" s="2">
        <f t="shared" si="16"/>
        <v>11520</v>
      </c>
      <c r="AE28" s="2">
        <f t="shared" si="17"/>
        <v>3.2</v>
      </c>
      <c r="AF28">
        <v>960</v>
      </c>
      <c r="AG28">
        <v>960</v>
      </c>
      <c r="AH28" s="2">
        <f t="shared" si="18"/>
        <v>1920</v>
      </c>
      <c r="AI28" s="2">
        <f t="shared" si="19"/>
        <v>15360</v>
      </c>
      <c r="AJ28" s="2">
        <f t="shared" si="20"/>
        <v>4.2666666666666666</v>
      </c>
      <c r="AK28">
        <v>1040</v>
      </c>
      <c r="AL28">
        <v>1040</v>
      </c>
      <c r="AM28" s="2">
        <f t="shared" si="21"/>
        <v>2080</v>
      </c>
      <c r="AN28" s="2">
        <f t="shared" si="22"/>
        <v>16640</v>
      </c>
      <c r="AO28" s="2">
        <f t="shared" si="23"/>
        <v>4.6222222222222218</v>
      </c>
      <c r="AP28">
        <v>960</v>
      </c>
      <c r="AQ28">
        <v>960</v>
      </c>
      <c r="AR28" s="2">
        <f t="shared" si="24"/>
        <v>1920</v>
      </c>
      <c r="AS28" s="2">
        <f t="shared" si="25"/>
        <v>15360</v>
      </c>
      <c r="AT28" s="2">
        <f t="shared" si="26"/>
        <v>4.2666666666666666</v>
      </c>
      <c r="AU28">
        <v>880</v>
      </c>
      <c r="AV28">
        <v>880</v>
      </c>
      <c r="AW28" s="2">
        <f t="shared" si="27"/>
        <v>1760</v>
      </c>
      <c r="AX28" s="2">
        <f t="shared" si="28"/>
        <v>14080</v>
      </c>
      <c r="AY28" s="2">
        <f t="shared" si="29"/>
        <v>3.911111111111111</v>
      </c>
    </row>
    <row r="29" spans="1:51" x14ac:dyDescent="0.3">
      <c r="A29" s="2" t="s">
        <v>33</v>
      </c>
      <c r="B29">
        <v>1280</v>
      </c>
      <c r="C29">
        <v>1280</v>
      </c>
      <c r="D29" s="2">
        <f t="shared" si="0"/>
        <v>2560</v>
      </c>
      <c r="E29" s="2">
        <f t="shared" si="1"/>
        <v>20480</v>
      </c>
      <c r="F29" s="2">
        <f t="shared" si="2"/>
        <v>5.6888888888888891</v>
      </c>
      <c r="G29">
        <v>1120</v>
      </c>
      <c r="H29">
        <v>1120</v>
      </c>
      <c r="I29" s="2">
        <f t="shared" si="3"/>
        <v>2240</v>
      </c>
      <c r="J29" s="2">
        <f t="shared" si="4"/>
        <v>17920</v>
      </c>
      <c r="K29" s="2">
        <f t="shared" si="5"/>
        <v>4.9777777777777779</v>
      </c>
      <c r="L29">
        <v>1040</v>
      </c>
      <c r="M29">
        <v>1040</v>
      </c>
      <c r="N29" s="2">
        <f t="shared" si="6"/>
        <v>2080</v>
      </c>
      <c r="O29" s="2">
        <f t="shared" si="7"/>
        <v>16640</v>
      </c>
      <c r="P29" s="2">
        <f t="shared" si="8"/>
        <v>4.6222222222222218</v>
      </c>
      <c r="Q29">
        <v>960</v>
      </c>
      <c r="R29">
        <v>960</v>
      </c>
      <c r="S29" s="2">
        <f t="shared" si="9"/>
        <v>1920</v>
      </c>
      <c r="T29" s="2">
        <f t="shared" si="10"/>
        <v>15360</v>
      </c>
      <c r="U29" s="2">
        <f t="shared" si="11"/>
        <v>4.2666666666666666</v>
      </c>
      <c r="V29">
        <v>1120</v>
      </c>
      <c r="W29">
        <v>1120</v>
      </c>
      <c r="X29" s="2">
        <f t="shared" si="12"/>
        <v>2240</v>
      </c>
      <c r="Y29" s="2">
        <f t="shared" si="13"/>
        <v>17920</v>
      </c>
      <c r="Z29" s="2">
        <f t="shared" si="14"/>
        <v>4.9777777777777779</v>
      </c>
      <c r="AA29">
        <v>800</v>
      </c>
      <c r="AB29">
        <v>800</v>
      </c>
      <c r="AC29" s="2">
        <f t="shared" si="15"/>
        <v>1600</v>
      </c>
      <c r="AD29" s="2">
        <f t="shared" si="16"/>
        <v>12800</v>
      </c>
      <c r="AE29" s="2">
        <f t="shared" si="17"/>
        <v>3.5555555555555554</v>
      </c>
      <c r="AF29">
        <v>1040</v>
      </c>
      <c r="AG29">
        <v>1040</v>
      </c>
      <c r="AH29" s="2">
        <f t="shared" si="18"/>
        <v>2080</v>
      </c>
      <c r="AI29" s="2">
        <f t="shared" si="19"/>
        <v>16640</v>
      </c>
      <c r="AJ29" s="2">
        <f t="shared" si="20"/>
        <v>4.6222222222222218</v>
      </c>
      <c r="AK29">
        <v>1040</v>
      </c>
      <c r="AL29">
        <v>1040</v>
      </c>
      <c r="AM29" s="2">
        <f t="shared" si="21"/>
        <v>2080</v>
      </c>
      <c r="AN29" s="2">
        <f t="shared" si="22"/>
        <v>16640</v>
      </c>
      <c r="AO29" s="2">
        <f t="shared" si="23"/>
        <v>4.6222222222222218</v>
      </c>
      <c r="AP29">
        <v>1200</v>
      </c>
      <c r="AQ29">
        <v>1200</v>
      </c>
      <c r="AR29" s="2">
        <f t="shared" si="24"/>
        <v>2400</v>
      </c>
      <c r="AS29" s="2">
        <f t="shared" si="25"/>
        <v>19200</v>
      </c>
      <c r="AT29" s="2">
        <f t="shared" si="26"/>
        <v>5.333333333333333</v>
      </c>
      <c r="AU29">
        <v>960</v>
      </c>
      <c r="AV29">
        <v>960</v>
      </c>
      <c r="AW29" s="2">
        <f t="shared" si="27"/>
        <v>1920</v>
      </c>
      <c r="AX29" s="2">
        <f t="shared" si="28"/>
        <v>15360</v>
      </c>
      <c r="AY29" s="2">
        <f t="shared" si="29"/>
        <v>4.2666666666666666</v>
      </c>
    </row>
    <row r="30" spans="1:51" x14ac:dyDescent="0.3">
      <c r="A30" s="2" t="s">
        <v>34</v>
      </c>
      <c r="B30">
        <v>1040</v>
      </c>
      <c r="C30">
        <v>1040</v>
      </c>
      <c r="D30" s="2">
        <f t="shared" si="0"/>
        <v>2080</v>
      </c>
      <c r="E30" s="2">
        <f t="shared" si="1"/>
        <v>16640</v>
      </c>
      <c r="F30" s="2">
        <f t="shared" si="2"/>
        <v>4.6222222222222218</v>
      </c>
      <c r="G30">
        <v>1040</v>
      </c>
      <c r="H30">
        <v>1040</v>
      </c>
      <c r="I30" s="2">
        <f t="shared" si="3"/>
        <v>2080</v>
      </c>
      <c r="J30" s="2">
        <f t="shared" si="4"/>
        <v>16640</v>
      </c>
      <c r="K30" s="2">
        <f t="shared" si="5"/>
        <v>4.6222222222222218</v>
      </c>
      <c r="L30">
        <v>1200</v>
      </c>
      <c r="M30">
        <v>1200</v>
      </c>
      <c r="N30" s="2">
        <f t="shared" si="6"/>
        <v>2400</v>
      </c>
      <c r="O30" s="2">
        <f t="shared" si="7"/>
        <v>19200</v>
      </c>
      <c r="P30" s="2">
        <f t="shared" si="8"/>
        <v>5.333333333333333</v>
      </c>
      <c r="Q30">
        <v>1120</v>
      </c>
      <c r="R30">
        <v>1120</v>
      </c>
      <c r="S30" s="2">
        <f t="shared" si="9"/>
        <v>2240</v>
      </c>
      <c r="T30" s="2">
        <f t="shared" si="10"/>
        <v>17920</v>
      </c>
      <c r="U30" s="2">
        <f t="shared" si="11"/>
        <v>4.9777777777777779</v>
      </c>
      <c r="V30">
        <v>1040</v>
      </c>
      <c r="W30">
        <v>1040</v>
      </c>
      <c r="X30" s="2">
        <f t="shared" si="12"/>
        <v>2080</v>
      </c>
      <c r="Y30" s="2">
        <f t="shared" si="13"/>
        <v>16640</v>
      </c>
      <c r="Z30" s="2">
        <f t="shared" si="14"/>
        <v>4.6222222222222218</v>
      </c>
      <c r="AA30">
        <v>1120</v>
      </c>
      <c r="AB30">
        <v>1120</v>
      </c>
      <c r="AC30" s="2">
        <f t="shared" si="15"/>
        <v>2240</v>
      </c>
      <c r="AD30" s="2">
        <f t="shared" si="16"/>
        <v>17920</v>
      </c>
      <c r="AE30" s="2">
        <f t="shared" si="17"/>
        <v>4.9777777777777779</v>
      </c>
      <c r="AF30">
        <v>1120</v>
      </c>
      <c r="AG30">
        <v>1120</v>
      </c>
      <c r="AH30" s="2">
        <f t="shared" si="18"/>
        <v>2240</v>
      </c>
      <c r="AI30" s="2">
        <f t="shared" si="19"/>
        <v>17920</v>
      </c>
      <c r="AJ30" s="2">
        <f t="shared" si="20"/>
        <v>4.9777777777777779</v>
      </c>
      <c r="AK30">
        <v>880</v>
      </c>
      <c r="AL30">
        <v>880</v>
      </c>
      <c r="AM30" s="2">
        <f t="shared" si="21"/>
        <v>1760</v>
      </c>
      <c r="AN30" s="2">
        <f t="shared" si="22"/>
        <v>14080</v>
      </c>
      <c r="AO30" s="2">
        <f t="shared" si="23"/>
        <v>3.911111111111111</v>
      </c>
      <c r="AP30">
        <v>960</v>
      </c>
      <c r="AQ30">
        <v>960</v>
      </c>
      <c r="AR30" s="2">
        <f t="shared" si="24"/>
        <v>1920</v>
      </c>
      <c r="AS30" s="2">
        <f t="shared" si="25"/>
        <v>15360</v>
      </c>
      <c r="AT30" s="2">
        <f t="shared" si="26"/>
        <v>4.2666666666666666</v>
      </c>
      <c r="AU30">
        <v>1120</v>
      </c>
      <c r="AV30">
        <v>1120</v>
      </c>
      <c r="AW30" s="2">
        <f t="shared" si="27"/>
        <v>2240</v>
      </c>
      <c r="AX30" s="2">
        <f t="shared" si="28"/>
        <v>17920</v>
      </c>
      <c r="AY30" s="2">
        <f t="shared" si="29"/>
        <v>4.9777777777777779</v>
      </c>
    </row>
    <row r="31" spans="1:51" x14ac:dyDescent="0.3">
      <c r="A31" s="2" t="s">
        <v>35</v>
      </c>
      <c r="B31">
        <v>1360</v>
      </c>
      <c r="C31">
        <v>1360</v>
      </c>
      <c r="D31" s="2">
        <f t="shared" si="0"/>
        <v>2720</v>
      </c>
      <c r="E31" s="2">
        <f t="shared" si="1"/>
        <v>21760</v>
      </c>
      <c r="F31" s="2">
        <f t="shared" si="2"/>
        <v>6.0444444444444443</v>
      </c>
      <c r="G31">
        <v>1200</v>
      </c>
      <c r="H31">
        <v>1200</v>
      </c>
      <c r="I31" s="2">
        <f t="shared" si="3"/>
        <v>2400</v>
      </c>
      <c r="J31" s="2">
        <f t="shared" si="4"/>
        <v>19200</v>
      </c>
      <c r="K31" s="2">
        <f t="shared" si="5"/>
        <v>5.333333333333333</v>
      </c>
      <c r="L31">
        <v>1040</v>
      </c>
      <c r="M31">
        <v>1040</v>
      </c>
      <c r="N31" s="2">
        <f t="shared" si="6"/>
        <v>2080</v>
      </c>
      <c r="O31" s="2">
        <f t="shared" si="7"/>
        <v>16640</v>
      </c>
      <c r="P31" s="2">
        <f t="shared" si="8"/>
        <v>4.6222222222222218</v>
      </c>
      <c r="Q31">
        <v>1120</v>
      </c>
      <c r="R31">
        <v>1120</v>
      </c>
      <c r="S31" s="2">
        <f t="shared" si="9"/>
        <v>2240</v>
      </c>
      <c r="T31" s="2">
        <f t="shared" si="10"/>
        <v>17920</v>
      </c>
      <c r="U31" s="2">
        <f t="shared" si="11"/>
        <v>4.9777777777777779</v>
      </c>
      <c r="V31">
        <v>1120</v>
      </c>
      <c r="W31">
        <v>1120</v>
      </c>
      <c r="X31" s="2">
        <f t="shared" si="12"/>
        <v>2240</v>
      </c>
      <c r="Y31" s="2">
        <f t="shared" si="13"/>
        <v>17920</v>
      </c>
      <c r="Z31" s="2">
        <f t="shared" si="14"/>
        <v>4.9777777777777779</v>
      </c>
      <c r="AA31">
        <v>1200</v>
      </c>
      <c r="AB31">
        <v>1200</v>
      </c>
      <c r="AC31" s="2">
        <f t="shared" si="15"/>
        <v>2400</v>
      </c>
      <c r="AD31" s="2">
        <f t="shared" si="16"/>
        <v>19200</v>
      </c>
      <c r="AE31" s="2">
        <f t="shared" si="17"/>
        <v>5.333333333333333</v>
      </c>
      <c r="AF31">
        <v>880</v>
      </c>
      <c r="AG31">
        <v>880</v>
      </c>
      <c r="AH31" s="2">
        <f t="shared" si="18"/>
        <v>1760</v>
      </c>
      <c r="AI31" s="2">
        <f t="shared" si="19"/>
        <v>14080</v>
      </c>
      <c r="AJ31" s="2">
        <f t="shared" si="20"/>
        <v>3.911111111111111</v>
      </c>
      <c r="AK31">
        <v>1040</v>
      </c>
      <c r="AL31">
        <v>1040</v>
      </c>
      <c r="AM31" s="2">
        <f t="shared" si="21"/>
        <v>2080</v>
      </c>
      <c r="AN31" s="2">
        <f t="shared" si="22"/>
        <v>16640</v>
      </c>
      <c r="AO31" s="2">
        <f t="shared" si="23"/>
        <v>4.6222222222222218</v>
      </c>
      <c r="AP31">
        <v>1120</v>
      </c>
      <c r="AQ31">
        <v>1120</v>
      </c>
      <c r="AR31" s="2">
        <f t="shared" si="24"/>
        <v>2240</v>
      </c>
      <c r="AS31" s="2">
        <f t="shared" si="25"/>
        <v>17920</v>
      </c>
      <c r="AT31" s="2">
        <f t="shared" si="26"/>
        <v>4.9777777777777779</v>
      </c>
      <c r="AU31">
        <v>1120</v>
      </c>
      <c r="AV31">
        <v>1120</v>
      </c>
      <c r="AW31" s="2">
        <f t="shared" si="27"/>
        <v>2240</v>
      </c>
      <c r="AX31" s="2">
        <f t="shared" si="28"/>
        <v>17920</v>
      </c>
      <c r="AY31" s="2">
        <f t="shared" si="29"/>
        <v>4.9777777777777779</v>
      </c>
    </row>
    <row r="32" spans="1:51" x14ac:dyDescent="0.3">
      <c r="A32" s="2" t="s">
        <v>36</v>
      </c>
      <c r="B32">
        <v>1040</v>
      </c>
      <c r="C32">
        <v>1040</v>
      </c>
      <c r="D32" s="2">
        <f t="shared" si="0"/>
        <v>2080</v>
      </c>
      <c r="E32" s="2">
        <f t="shared" si="1"/>
        <v>16640</v>
      </c>
      <c r="F32" s="2">
        <f t="shared" si="2"/>
        <v>4.6222222222222218</v>
      </c>
      <c r="G32">
        <v>1120</v>
      </c>
      <c r="H32">
        <v>1120</v>
      </c>
      <c r="I32" s="2">
        <f t="shared" si="3"/>
        <v>2240</v>
      </c>
      <c r="J32" s="2">
        <f t="shared" si="4"/>
        <v>17920</v>
      </c>
      <c r="K32" s="2">
        <f t="shared" si="5"/>
        <v>4.9777777777777779</v>
      </c>
      <c r="L32">
        <v>1120</v>
      </c>
      <c r="M32">
        <v>1120</v>
      </c>
      <c r="N32" s="2">
        <f t="shared" si="6"/>
        <v>2240</v>
      </c>
      <c r="O32" s="2">
        <f t="shared" si="7"/>
        <v>17920</v>
      </c>
      <c r="P32" s="2">
        <f t="shared" si="8"/>
        <v>4.9777777777777779</v>
      </c>
      <c r="Q32">
        <v>1200</v>
      </c>
      <c r="R32">
        <v>1200</v>
      </c>
      <c r="S32" s="2">
        <f t="shared" si="9"/>
        <v>2400</v>
      </c>
      <c r="T32" s="2">
        <f t="shared" si="10"/>
        <v>19200</v>
      </c>
      <c r="U32" s="2">
        <f t="shared" si="11"/>
        <v>5.333333333333333</v>
      </c>
      <c r="V32">
        <v>1040</v>
      </c>
      <c r="W32">
        <v>1040</v>
      </c>
      <c r="X32" s="2">
        <f t="shared" si="12"/>
        <v>2080</v>
      </c>
      <c r="Y32" s="2">
        <f t="shared" si="13"/>
        <v>16640</v>
      </c>
      <c r="Z32" s="2">
        <f t="shared" si="14"/>
        <v>4.6222222222222218</v>
      </c>
      <c r="AA32">
        <v>1120</v>
      </c>
      <c r="AB32">
        <v>1120</v>
      </c>
      <c r="AC32" s="2">
        <f t="shared" si="15"/>
        <v>2240</v>
      </c>
      <c r="AD32" s="2">
        <f t="shared" si="16"/>
        <v>17920</v>
      </c>
      <c r="AE32" s="2">
        <f t="shared" si="17"/>
        <v>4.9777777777777779</v>
      </c>
      <c r="AF32">
        <v>1200</v>
      </c>
      <c r="AG32">
        <v>1200</v>
      </c>
      <c r="AH32" s="2">
        <f t="shared" si="18"/>
        <v>2400</v>
      </c>
      <c r="AI32" s="2">
        <f t="shared" si="19"/>
        <v>19200</v>
      </c>
      <c r="AJ32" s="2">
        <f t="shared" si="20"/>
        <v>5.333333333333333</v>
      </c>
      <c r="AK32">
        <v>1120</v>
      </c>
      <c r="AL32">
        <v>1120</v>
      </c>
      <c r="AM32" s="2">
        <f t="shared" si="21"/>
        <v>2240</v>
      </c>
      <c r="AN32" s="2">
        <f t="shared" si="22"/>
        <v>17920</v>
      </c>
      <c r="AO32" s="2">
        <f t="shared" si="23"/>
        <v>4.9777777777777779</v>
      </c>
      <c r="AP32">
        <v>1200</v>
      </c>
      <c r="AQ32">
        <v>1200</v>
      </c>
      <c r="AR32" s="2">
        <f t="shared" si="24"/>
        <v>2400</v>
      </c>
      <c r="AS32" s="2">
        <f t="shared" si="25"/>
        <v>19200</v>
      </c>
      <c r="AT32" s="2">
        <f t="shared" si="26"/>
        <v>5.333333333333333</v>
      </c>
      <c r="AU32">
        <v>1120</v>
      </c>
      <c r="AV32">
        <v>1120</v>
      </c>
      <c r="AW32" s="2">
        <f t="shared" si="27"/>
        <v>2240</v>
      </c>
      <c r="AX32" s="2">
        <f t="shared" si="28"/>
        <v>17920</v>
      </c>
      <c r="AY32" s="2">
        <f t="shared" si="29"/>
        <v>4.9777777777777779</v>
      </c>
    </row>
    <row r="33" spans="1:51" x14ac:dyDescent="0.3">
      <c r="A33" s="2" t="s">
        <v>37</v>
      </c>
      <c r="B33">
        <v>880</v>
      </c>
      <c r="C33">
        <v>880</v>
      </c>
      <c r="D33" s="2">
        <f t="shared" si="0"/>
        <v>1760</v>
      </c>
      <c r="E33" s="2">
        <f t="shared" si="1"/>
        <v>14080</v>
      </c>
      <c r="F33" s="2">
        <f t="shared" si="2"/>
        <v>3.911111111111111</v>
      </c>
      <c r="G33">
        <v>1040</v>
      </c>
      <c r="H33">
        <v>1040</v>
      </c>
      <c r="I33" s="2">
        <f t="shared" si="3"/>
        <v>2080</v>
      </c>
      <c r="J33" s="2">
        <f t="shared" si="4"/>
        <v>16640</v>
      </c>
      <c r="K33" s="2">
        <f t="shared" si="5"/>
        <v>4.6222222222222218</v>
      </c>
      <c r="L33">
        <v>1120</v>
      </c>
      <c r="M33">
        <v>1120</v>
      </c>
      <c r="N33" s="2">
        <f t="shared" si="6"/>
        <v>2240</v>
      </c>
      <c r="O33" s="2">
        <f t="shared" si="7"/>
        <v>17920</v>
      </c>
      <c r="P33" s="2">
        <f t="shared" si="8"/>
        <v>4.9777777777777779</v>
      </c>
      <c r="Q33">
        <v>1040</v>
      </c>
      <c r="R33">
        <v>1040</v>
      </c>
      <c r="S33" s="2">
        <f t="shared" si="9"/>
        <v>2080</v>
      </c>
      <c r="T33" s="2">
        <f t="shared" si="10"/>
        <v>16640</v>
      </c>
      <c r="U33" s="2">
        <f t="shared" si="11"/>
        <v>4.6222222222222218</v>
      </c>
      <c r="V33">
        <v>1120</v>
      </c>
      <c r="W33">
        <v>1120</v>
      </c>
      <c r="X33" s="2">
        <f t="shared" si="12"/>
        <v>2240</v>
      </c>
      <c r="Y33" s="2">
        <f t="shared" si="13"/>
        <v>17920</v>
      </c>
      <c r="Z33" s="2">
        <f t="shared" si="14"/>
        <v>4.9777777777777779</v>
      </c>
      <c r="AA33">
        <v>1280</v>
      </c>
      <c r="AB33">
        <v>1280</v>
      </c>
      <c r="AC33" s="2">
        <f t="shared" si="15"/>
        <v>2560</v>
      </c>
      <c r="AD33" s="2">
        <f t="shared" si="16"/>
        <v>20480</v>
      </c>
      <c r="AE33" s="2">
        <f t="shared" si="17"/>
        <v>5.6888888888888891</v>
      </c>
      <c r="AF33">
        <v>1040</v>
      </c>
      <c r="AG33">
        <v>1040</v>
      </c>
      <c r="AH33" s="2">
        <f t="shared" si="18"/>
        <v>2080</v>
      </c>
      <c r="AI33" s="2">
        <f t="shared" si="19"/>
        <v>16640</v>
      </c>
      <c r="AJ33" s="2">
        <f t="shared" si="20"/>
        <v>4.6222222222222218</v>
      </c>
      <c r="AK33">
        <v>960</v>
      </c>
      <c r="AL33">
        <v>960</v>
      </c>
      <c r="AM33" s="2">
        <f t="shared" si="21"/>
        <v>1920</v>
      </c>
      <c r="AN33" s="2">
        <f t="shared" si="22"/>
        <v>15360</v>
      </c>
      <c r="AO33" s="2">
        <f t="shared" si="23"/>
        <v>4.2666666666666666</v>
      </c>
      <c r="AP33">
        <v>1120</v>
      </c>
      <c r="AQ33">
        <v>1120</v>
      </c>
      <c r="AR33" s="2">
        <f t="shared" si="24"/>
        <v>2240</v>
      </c>
      <c r="AS33" s="2">
        <f t="shared" si="25"/>
        <v>17920</v>
      </c>
      <c r="AT33" s="2">
        <f t="shared" si="26"/>
        <v>4.9777777777777779</v>
      </c>
      <c r="AU33">
        <v>1120</v>
      </c>
      <c r="AV33">
        <v>1120</v>
      </c>
      <c r="AW33" s="2">
        <f t="shared" si="27"/>
        <v>2240</v>
      </c>
      <c r="AX33" s="2">
        <f t="shared" si="28"/>
        <v>17920</v>
      </c>
      <c r="AY33" s="2">
        <f t="shared" si="29"/>
        <v>4.9777777777777779</v>
      </c>
    </row>
    <row r="34" spans="1:51" x14ac:dyDescent="0.3">
      <c r="A34" s="2" t="s">
        <v>38</v>
      </c>
      <c r="B34">
        <v>1040</v>
      </c>
      <c r="C34">
        <v>1040</v>
      </c>
      <c r="D34" s="2">
        <f t="shared" si="0"/>
        <v>2080</v>
      </c>
      <c r="E34" s="2">
        <f t="shared" si="1"/>
        <v>16640</v>
      </c>
      <c r="F34" s="2">
        <f t="shared" si="2"/>
        <v>4.6222222222222218</v>
      </c>
      <c r="G34">
        <v>1120</v>
      </c>
      <c r="H34">
        <v>1120</v>
      </c>
      <c r="I34" s="2">
        <f t="shared" si="3"/>
        <v>2240</v>
      </c>
      <c r="J34" s="2">
        <f t="shared" si="4"/>
        <v>17920</v>
      </c>
      <c r="K34" s="2">
        <f t="shared" si="5"/>
        <v>4.9777777777777779</v>
      </c>
      <c r="L34">
        <v>800</v>
      </c>
      <c r="M34">
        <v>800</v>
      </c>
      <c r="N34" s="2">
        <f t="shared" si="6"/>
        <v>1600</v>
      </c>
      <c r="O34" s="2">
        <f t="shared" si="7"/>
        <v>12800</v>
      </c>
      <c r="P34" s="2">
        <f t="shared" si="8"/>
        <v>3.5555555555555554</v>
      </c>
      <c r="Q34">
        <v>960</v>
      </c>
      <c r="R34">
        <v>960</v>
      </c>
      <c r="S34" s="2">
        <f t="shared" si="9"/>
        <v>1920</v>
      </c>
      <c r="T34" s="2">
        <f t="shared" si="10"/>
        <v>15360</v>
      </c>
      <c r="U34" s="2">
        <f t="shared" si="11"/>
        <v>4.2666666666666666</v>
      </c>
      <c r="V34">
        <v>1120</v>
      </c>
      <c r="W34">
        <v>1120</v>
      </c>
      <c r="X34" s="2">
        <f t="shared" si="12"/>
        <v>2240</v>
      </c>
      <c r="Y34" s="2">
        <f t="shared" si="13"/>
        <v>17920</v>
      </c>
      <c r="Z34" s="2">
        <f t="shared" si="14"/>
        <v>4.9777777777777779</v>
      </c>
      <c r="AA34">
        <v>1040</v>
      </c>
      <c r="AB34">
        <v>1040</v>
      </c>
      <c r="AC34" s="2">
        <f t="shared" si="15"/>
        <v>2080</v>
      </c>
      <c r="AD34" s="2">
        <f t="shared" si="16"/>
        <v>16640</v>
      </c>
      <c r="AE34" s="2">
        <f t="shared" si="17"/>
        <v>4.6222222222222218</v>
      </c>
      <c r="AF34">
        <v>1120</v>
      </c>
      <c r="AG34">
        <v>1120</v>
      </c>
      <c r="AH34" s="2">
        <f t="shared" si="18"/>
        <v>2240</v>
      </c>
      <c r="AI34" s="2">
        <f t="shared" si="19"/>
        <v>17920</v>
      </c>
      <c r="AJ34" s="2">
        <f t="shared" si="20"/>
        <v>4.9777777777777779</v>
      </c>
      <c r="AK34">
        <v>880</v>
      </c>
      <c r="AL34">
        <v>880</v>
      </c>
      <c r="AM34" s="2">
        <f t="shared" si="21"/>
        <v>1760</v>
      </c>
      <c r="AN34" s="2">
        <f t="shared" si="22"/>
        <v>14080</v>
      </c>
      <c r="AO34" s="2">
        <f t="shared" si="23"/>
        <v>3.911111111111111</v>
      </c>
      <c r="AP34">
        <v>1040</v>
      </c>
      <c r="AQ34">
        <v>1040</v>
      </c>
      <c r="AR34" s="2">
        <f t="shared" si="24"/>
        <v>2080</v>
      </c>
      <c r="AS34" s="2">
        <f t="shared" si="25"/>
        <v>16640</v>
      </c>
      <c r="AT34" s="2">
        <f t="shared" si="26"/>
        <v>4.6222222222222218</v>
      </c>
      <c r="AU34">
        <v>1120</v>
      </c>
      <c r="AV34">
        <v>1120</v>
      </c>
      <c r="AW34" s="2">
        <f t="shared" si="27"/>
        <v>2240</v>
      </c>
      <c r="AX34" s="2">
        <f t="shared" si="28"/>
        <v>17920</v>
      </c>
      <c r="AY34" s="2">
        <f t="shared" si="29"/>
        <v>4.9777777777777779</v>
      </c>
    </row>
    <row r="35" spans="1:51" x14ac:dyDescent="0.3">
      <c r="A35" s="2" t="s">
        <v>39</v>
      </c>
      <c r="B35">
        <v>1120</v>
      </c>
      <c r="C35">
        <v>1120</v>
      </c>
      <c r="D35" s="2">
        <f t="shared" si="0"/>
        <v>2240</v>
      </c>
      <c r="E35" s="2">
        <f t="shared" si="1"/>
        <v>17920</v>
      </c>
      <c r="F35" s="2">
        <f t="shared" si="2"/>
        <v>4.9777777777777779</v>
      </c>
      <c r="G35">
        <v>960</v>
      </c>
      <c r="H35">
        <v>960</v>
      </c>
      <c r="I35" s="2">
        <f t="shared" si="3"/>
        <v>1920</v>
      </c>
      <c r="J35" s="2">
        <f t="shared" si="4"/>
        <v>15360</v>
      </c>
      <c r="K35" s="2">
        <f t="shared" si="5"/>
        <v>4.2666666666666666</v>
      </c>
      <c r="L35">
        <v>1200</v>
      </c>
      <c r="M35">
        <v>1200</v>
      </c>
      <c r="N35" s="2">
        <f t="shared" si="6"/>
        <v>2400</v>
      </c>
      <c r="O35" s="2">
        <f t="shared" si="7"/>
        <v>19200</v>
      </c>
      <c r="P35" s="2">
        <f t="shared" si="8"/>
        <v>5.333333333333333</v>
      </c>
      <c r="Q35">
        <v>1040</v>
      </c>
      <c r="R35">
        <v>1040</v>
      </c>
      <c r="S35" s="2">
        <f t="shared" si="9"/>
        <v>2080</v>
      </c>
      <c r="T35" s="2">
        <f t="shared" si="10"/>
        <v>16640</v>
      </c>
      <c r="U35" s="2">
        <f t="shared" si="11"/>
        <v>4.6222222222222218</v>
      </c>
      <c r="V35">
        <v>1200</v>
      </c>
      <c r="W35">
        <v>1200</v>
      </c>
      <c r="X35" s="2">
        <f t="shared" si="12"/>
        <v>2400</v>
      </c>
      <c r="Y35" s="2">
        <f t="shared" si="13"/>
        <v>19200</v>
      </c>
      <c r="Z35" s="2">
        <f t="shared" si="14"/>
        <v>5.333333333333333</v>
      </c>
      <c r="AA35">
        <v>1040</v>
      </c>
      <c r="AB35">
        <v>1040</v>
      </c>
      <c r="AC35" s="2">
        <f t="shared" si="15"/>
        <v>2080</v>
      </c>
      <c r="AD35" s="2">
        <f t="shared" si="16"/>
        <v>16640</v>
      </c>
      <c r="AE35" s="2">
        <f t="shared" si="17"/>
        <v>4.6222222222222218</v>
      </c>
      <c r="AF35">
        <v>1200</v>
      </c>
      <c r="AG35">
        <v>1200</v>
      </c>
      <c r="AH35" s="2">
        <f t="shared" si="18"/>
        <v>2400</v>
      </c>
      <c r="AI35" s="2">
        <f t="shared" si="19"/>
        <v>19200</v>
      </c>
      <c r="AJ35" s="2">
        <f t="shared" si="20"/>
        <v>5.333333333333333</v>
      </c>
      <c r="AK35">
        <v>1040</v>
      </c>
      <c r="AL35">
        <v>1040</v>
      </c>
      <c r="AM35" s="2">
        <f t="shared" si="21"/>
        <v>2080</v>
      </c>
      <c r="AN35" s="2">
        <f t="shared" si="22"/>
        <v>16640</v>
      </c>
      <c r="AO35" s="2">
        <f t="shared" si="23"/>
        <v>4.6222222222222218</v>
      </c>
      <c r="AP35">
        <v>880</v>
      </c>
      <c r="AQ35">
        <v>880</v>
      </c>
      <c r="AR35" s="2">
        <f t="shared" si="24"/>
        <v>1760</v>
      </c>
      <c r="AS35" s="2">
        <f t="shared" si="25"/>
        <v>14080</v>
      </c>
      <c r="AT35" s="2">
        <f t="shared" si="26"/>
        <v>3.911111111111111</v>
      </c>
      <c r="AU35">
        <v>1040</v>
      </c>
      <c r="AV35">
        <v>1040</v>
      </c>
      <c r="AW35" s="2">
        <f t="shared" si="27"/>
        <v>2080</v>
      </c>
      <c r="AX35" s="2">
        <f t="shared" si="28"/>
        <v>16640</v>
      </c>
      <c r="AY35" s="2">
        <f t="shared" si="29"/>
        <v>4.6222222222222218</v>
      </c>
    </row>
    <row r="36" spans="1:51" x14ac:dyDescent="0.3">
      <c r="A36" s="2" t="s">
        <v>40</v>
      </c>
      <c r="B36">
        <v>960</v>
      </c>
      <c r="C36">
        <v>960</v>
      </c>
      <c r="D36" s="2">
        <f t="shared" si="0"/>
        <v>1920</v>
      </c>
      <c r="E36" s="2">
        <f t="shared" si="1"/>
        <v>15360</v>
      </c>
      <c r="F36" s="2">
        <f t="shared" si="2"/>
        <v>4.2666666666666666</v>
      </c>
      <c r="G36">
        <v>1040</v>
      </c>
      <c r="H36">
        <v>1040</v>
      </c>
      <c r="I36" s="2">
        <f t="shared" si="3"/>
        <v>2080</v>
      </c>
      <c r="J36" s="2">
        <f t="shared" si="4"/>
        <v>16640</v>
      </c>
      <c r="K36" s="2">
        <f t="shared" si="5"/>
        <v>4.6222222222222218</v>
      </c>
      <c r="L36">
        <v>720</v>
      </c>
      <c r="M36">
        <v>720</v>
      </c>
      <c r="N36" s="2">
        <f t="shared" si="6"/>
        <v>1440</v>
      </c>
      <c r="O36" s="2">
        <f t="shared" si="7"/>
        <v>11520</v>
      </c>
      <c r="P36" s="2">
        <f t="shared" si="8"/>
        <v>3.2</v>
      </c>
      <c r="Q36">
        <v>880</v>
      </c>
      <c r="R36">
        <v>880</v>
      </c>
      <c r="S36" s="2">
        <f t="shared" si="9"/>
        <v>1760</v>
      </c>
      <c r="T36" s="2">
        <f t="shared" si="10"/>
        <v>14080</v>
      </c>
      <c r="U36" s="2">
        <f t="shared" si="11"/>
        <v>3.911111111111111</v>
      </c>
      <c r="V36">
        <v>960</v>
      </c>
      <c r="W36">
        <v>960</v>
      </c>
      <c r="X36" s="2">
        <f t="shared" si="12"/>
        <v>1920</v>
      </c>
      <c r="Y36" s="2">
        <f t="shared" si="13"/>
        <v>15360</v>
      </c>
      <c r="Z36" s="2">
        <f t="shared" si="14"/>
        <v>4.2666666666666666</v>
      </c>
      <c r="AA36">
        <v>1120</v>
      </c>
      <c r="AB36">
        <v>1120</v>
      </c>
      <c r="AC36" s="2">
        <f t="shared" si="15"/>
        <v>2240</v>
      </c>
      <c r="AD36" s="2">
        <f t="shared" si="16"/>
        <v>17920</v>
      </c>
      <c r="AE36" s="2">
        <f t="shared" si="17"/>
        <v>4.9777777777777779</v>
      </c>
      <c r="AF36">
        <v>960</v>
      </c>
      <c r="AG36">
        <v>960</v>
      </c>
      <c r="AH36" s="2">
        <f t="shared" si="18"/>
        <v>1920</v>
      </c>
      <c r="AI36" s="2">
        <f t="shared" si="19"/>
        <v>15360</v>
      </c>
      <c r="AJ36" s="2">
        <f t="shared" si="20"/>
        <v>4.2666666666666666</v>
      </c>
      <c r="AK36">
        <v>1040</v>
      </c>
      <c r="AL36">
        <v>1040</v>
      </c>
      <c r="AM36" s="2">
        <f t="shared" si="21"/>
        <v>2080</v>
      </c>
      <c r="AN36" s="2">
        <f t="shared" si="22"/>
        <v>16640</v>
      </c>
      <c r="AO36" s="2">
        <f t="shared" si="23"/>
        <v>4.6222222222222218</v>
      </c>
      <c r="AP36">
        <v>880</v>
      </c>
      <c r="AQ36">
        <v>880</v>
      </c>
      <c r="AR36" s="2">
        <f t="shared" si="24"/>
        <v>1760</v>
      </c>
      <c r="AS36" s="2">
        <f t="shared" si="25"/>
        <v>14080</v>
      </c>
      <c r="AT36" s="2">
        <f t="shared" si="26"/>
        <v>3.911111111111111</v>
      </c>
      <c r="AU36">
        <v>1200</v>
      </c>
      <c r="AV36">
        <v>1200</v>
      </c>
      <c r="AW36" s="2">
        <f t="shared" si="27"/>
        <v>2400</v>
      </c>
      <c r="AX36" s="2">
        <f t="shared" si="28"/>
        <v>19200</v>
      </c>
      <c r="AY36" s="2">
        <f t="shared" si="29"/>
        <v>5.333333333333333</v>
      </c>
    </row>
    <row r="37" spans="1:51" x14ac:dyDescent="0.3">
      <c r="A37" s="2" t="s">
        <v>41</v>
      </c>
      <c r="B37">
        <v>960</v>
      </c>
      <c r="C37">
        <v>960</v>
      </c>
      <c r="D37" s="2">
        <f t="shared" si="0"/>
        <v>1920</v>
      </c>
      <c r="E37" s="2">
        <f t="shared" si="1"/>
        <v>15360</v>
      </c>
      <c r="F37" s="2">
        <f t="shared" si="2"/>
        <v>4.2666666666666666</v>
      </c>
      <c r="G37">
        <v>880</v>
      </c>
      <c r="H37">
        <v>880</v>
      </c>
      <c r="I37" s="2">
        <f t="shared" si="3"/>
        <v>1760</v>
      </c>
      <c r="J37" s="2">
        <f t="shared" si="4"/>
        <v>14080</v>
      </c>
      <c r="K37" s="2">
        <f t="shared" si="5"/>
        <v>3.911111111111111</v>
      </c>
      <c r="L37">
        <v>880</v>
      </c>
      <c r="M37">
        <v>880</v>
      </c>
      <c r="N37" s="2">
        <f t="shared" si="6"/>
        <v>1760</v>
      </c>
      <c r="O37" s="2">
        <f t="shared" si="7"/>
        <v>14080</v>
      </c>
      <c r="P37" s="2">
        <f t="shared" si="8"/>
        <v>3.911111111111111</v>
      </c>
      <c r="Q37">
        <v>1120</v>
      </c>
      <c r="R37">
        <v>1120</v>
      </c>
      <c r="S37" s="2">
        <f t="shared" si="9"/>
        <v>2240</v>
      </c>
      <c r="T37" s="2">
        <f t="shared" si="10"/>
        <v>17920</v>
      </c>
      <c r="U37" s="2">
        <f t="shared" si="11"/>
        <v>4.9777777777777779</v>
      </c>
      <c r="V37">
        <v>1200</v>
      </c>
      <c r="W37">
        <v>1200</v>
      </c>
      <c r="X37" s="2">
        <f t="shared" si="12"/>
        <v>2400</v>
      </c>
      <c r="Y37" s="2">
        <f t="shared" si="13"/>
        <v>19200</v>
      </c>
      <c r="Z37" s="2">
        <f t="shared" si="14"/>
        <v>5.333333333333333</v>
      </c>
      <c r="AA37">
        <v>1040</v>
      </c>
      <c r="AB37">
        <v>1040</v>
      </c>
      <c r="AC37" s="2">
        <f t="shared" si="15"/>
        <v>2080</v>
      </c>
      <c r="AD37" s="2">
        <f t="shared" si="16"/>
        <v>16640</v>
      </c>
      <c r="AE37" s="2">
        <f t="shared" si="17"/>
        <v>4.6222222222222218</v>
      </c>
      <c r="AF37">
        <v>1040</v>
      </c>
      <c r="AG37">
        <v>1040</v>
      </c>
      <c r="AH37" s="2">
        <f t="shared" si="18"/>
        <v>2080</v>
      </c>
      <c r="AI37" s="2">
        <f t="shared" si="19"/>
        <v>16640</v>
      </c>
      <c r="AJ37" s="2">
        <f t="shared" si="20"/>
        <v>4.6222222222222218</v>
      </c>
      <c r="AK37">
        <v>880</v>
      </c>
      <c r="AL37">
        <v>880</v>
      </c>
      <c r="AM37" s="2">
        <f t="shared" si="21"/>
        <v>1760</v>
      </c>
      <c r="AN37" s="2">
        <f t="shared" si="22"/>
        <v>14080</v>
      </c>
      <c r="AO37" s="2">
        <f t="shared" si="23"/>
        <v>3.911111111111111</v>
      </c>
      <c r="AP37">
        <v>1120</v>
      </c>
      <c r="AQ37">
        <v>1120</v>
      </c>
      <c r="AR37" s="2">
        <f t="shared" si="24"/>
        <v>2240</v>
      </c>
      <c r="AS37" s="2">
        <f t="shared" si="25"/>
        <v>17920</v>
      </c>
      <c r="AT37" s="2">
        <f t="shared" si="26"/>
        <v>4.9777777777777779</v>
      </c>
      <c r="AU37">
        <v>960</v>
      </c>
      <c r="AV37">
        <v>960</v>
      </c>
      <c r="AW37" s="2">
        <f t="shared" si="27"/>
        <v>1920</v>
      </c>
      <c r="AX37" s="2">
        <f t="shared" si="28"/>
        <v>15360</v>
      </c>
      <c r="AY37" s="2">
        <f t="shared" si="29"/>
        <v>4.2666666666666666</v>
      </c>
    </row>
    <row r="38" spans="1:51" x14ac:dyDescent="0.3">
      <c r="A38" s="2" t="s">
        <v>42</v>
      </c>
      <c r="B38">
        <v>1040</v>
      </c>
      <c r="C38">
        <v>1040</v>
      </c>
      <c r="D38" s="2">
        <f t="shared" si="0"/>
        <v>2080</v>
      </c>
      <c r="E38" s="2">
        <f t="shared" si="1"/>
        <v>16640</v>
      </c>
      <c r="F38" s="2">
        <f t="shared" si="2"/>
        <v>4.6222222222222218</v>
      </c>
      <c r="G38">
        <v>1040</v>
      </c>
      <c r="H38">
        <v>1040</v>
      </c>
      <c r="I38" s="2">
        <f t="shared" si="3"/>
        <v>2080</v>
      </c>
      <c r="J38" s="2">
        <f t="shared" si="4"/>
        <v>16640</v>
      </c>
      <c r="K38" s="2">
        <f t="shared" si="5"/>
        <v>4.6222222222222218</v>
      </c>
      <c r="L38">
        <v>1200</v>
      </c>
      <c r="M38">
        <v>1200</v>
      </c>
      <c r="N38" s="2">
        <f t="shared" si="6"/>
        <v>2400</v>
      </c>
      <c r="O38" s="2">
        <f t="shared" si="7"/>
        <v>19200</v>
      </c>
      <c r="P38" s="2">
        <f t="shared" si="8"/>
        <v>5.333333333333333</v>
      </c>
      <c r="Q38">
        <v>1120</v>
      </c>
      <c r="R38">
        <v>1120</v>
      </c>
      <c r="S38" s="2">
        <f t="shared" si="9"/>
        <v>2240</v>
      </c>
      <c r="T38" s="2">
        <f t="shared" si="10"/>
        <v>17920</v>
      </c>
      <c r="U38" s="2">
        <f t="shared" si="11"/>
        <v>4.9777777777777779</v>
      </c>
      <c r="V38">
        <v>880</v>
      </c>
      <c r="W38">
        <v>880</v>
      </c>
      <c r="X38" s="2">
        <f t="shared" si="12"/>
        <v>1760</v>
      </c>
      <c r="Y38" s="2">
        <f t="shared" si="13"/>
        <v>14080</v>
      </c>
      <c r="Z38" s="2">
        <f t="shared" si="14"/>
        <v>3.911111111111111</v>
      </c>
      <c r="AA38">
        <v>1120</v>
      </c>
      <c r="AB38">
        <v>1120</v>
      </c>
      <c r="AC38" s="2">
        <f t="shared" si="15"/>
        <v>2240</v>
      </c>
      <c r="AD38" s="2">
        <f t="shared" si="16"/>
        <v>17920</v>
      </c>
      <c r="AE38" s="2">
        <f t="shared" si="17"/>
        <v>4.9777777777777779</v>
      </c>
      <c r="AF38">
        <v>960</v>
      </c>
      <c r="AG38">
        <v>960</v>
      </c>
      <c r="AH38" s="2">
        <f t="shared" si="18"/>
        <v>1920</v>
      </c>
      <c r="AI38" s="2">
        <f t="shared" si="19"/>
        <v>15360</v>
      </c>
      <c r="AJ38" s="2">
        <f t="shared" si="20"/>
        <v>4.2666666666666666</v>
      </c>
      <c r="AK38">
        <v>800</v>
      </c>
      <c r="AL38">
        <v>800</v>
      </c>
      <c r="AM38" s="2">
        <f t="shared" si="21"/>
        <v>1600</v>
      </c>
      <c r="AN38" s="2">
        <f t="shared" si="22"/>
        <v>12800</v>
      </c>
      <c r="AO38" s="2">
        <f t="shared" si="23"/>
        <v>3.5555555555555554</v>
      </c>
      <c r="AP38">
        <v>960</v>
      </c>
      <c r="AQ38">
        <v>960</v>
      </c>
      <c r="AR38" s="2">
        <f t="shared" si="24"/>
        <v>1920</v>
      </c>
      <c r="AS38" s="2">
        <f t="shared" si="25"/>
        <v>15360</v>
      </c>
      <c r="AT38" s="2">
        <f t="shared" si="26"/>
        <v>4.2666666666666666</v>
      </c>
      <c r="AU38">
        <v>1040</v>
      </c>
      <c r="AV38">
        <v>1040</v>
      </c>
      <c r="AW38" s="2">
        <f t="shared" si="27"/>
        <v>2080</v>
      </c>
      <c r="AX38" s="2">
        <f t="shared" si="28"/>
        <v>16640</v>
      </c>
      <c r="AY38" s="2">
        <f t="shared" si="29"/>
        <v>4.6222222222222218</v>
      </c>
    </row>
    <row r="39" spans="1:51" x14ac:dyDescent="0.3">
      <c r="A39" s="2" t="s">
        <v>43</v>
      </c>
      <c r="B39">
        <v>1200</v>
      </c>
      <c r="C39">
        <v>1200</v>
      </c>
      <c r="D39" s="2">
        <f t="shared" si="0"/>
        <v>2400</v>
      </c>
      <c r="E39" s="2">
        <f t="shared" si="1"/>
        <v>19200</v>
      </c>
      <c r="F39" s="2">
        <f t="shared" si="2"/>
        <v>5.333333333333333</v>
      </c>
      <c r="G39">
        <v>1280</v>
      </c>
      <c r="H39">
        <v>1280</v>
      </c>
      <c r="I39" s="2">
        <f t="shared" si="3"/>
        <v>2560</v>
      </c>
      <c r="J39" s="2">
        <f t="shared" si="4"/>
        <v>20480</v>
      </c>
      <c r="K39" s="2">
        <f t="shared" si="5"/>
        <v>5.6888888888888891</v>
      </c>
      <c r="L39">
        <v>1120</v>
      </c>
      <c r="M39">
        <v>1120</v>
      </c>
      <c r="N39" s="2">
        <f t="shared" si="6"/>
        <v>2240</v>
      </c>
      <c r="O39" s="2">
        <f t="shared" si="7"/>
        <v>17920</v>
      </c>
      <c r="P39" s="2">
        <f t="shared" si="8"/>
        <v>4.9777777777777779</v>
      </c>
      <c r="Q39">
        <v>1200</v>
      </c>
      <c r="R39">
        <v>1200</v>
      </c>
      <c r="S39" s="2">
        <f t="shared" si="9"/>
        <v>2400</v>
      </c>
      <c r="T39" s="2">
        <f t="shared" si="10"/>
        <v>19200</v>
      </c>
      <c r="U39" s="2">
        <f t="shared" si="11"/>
        <v>5.333333333333333</v>
      </c>
      <c r="V39">
        <v>1200</v>
      </c>
      <c r="W39">
        <v>1200</v>
      </c>
      <c r="X39" s="2">
        <f t="shared" si="12"/>
        <v>2400</v>
      </c>
      <c r="Y39" s="2">
        <f t="shared" si="13"/>
        <v>19200</v>
      </c>
      <c r="Z39" s="2">
        <f t="shared" si="14"/>
        <v>5.333333333333333</v>
      </c>
      <c r="AA39">
        <v>960</v>
      </c>
      <c r="AB39">
        <v>960</v>
      </c>
      <c r="AC39" s="2">
        <f t="shared" si="15"/>
        <v>1920</v>
      </c>
      <c r="AD39" s="2">
        <f t="shared" si="16"/>
        <v>15360</v>
      </c>
      <c r="AE39" s="2">
        <f t="shared" si="17"/>
        <v>4.2666666666666666</v>
      </c>
      <c r="AF39">
        <v>1040</v>
      </c>
      <c r="AG39">
        <v>1040</v>
      </c>
      <c r="AH39" s="2">
        <f t="shared" si="18"/>
        <v>2080</v>
      </c>
      <c r="AI39" s="2">
        <f t="shared" si="19"/>
        <v>16640</v>
      </c>
      <c r="AJ39" s="2">
        <f t="shared" si="20"/>
        <v>4.6222222222222218</v>
      </c>
      <c r="AK39">
        <v>960</v>
      </c>
      <c r="AL39">
        <v>960</v>
      </c>
      <c r="AM39" s="2">
        <f t="shared" si="21"/>
        <v>1920</v>
      </c>
      <c r="AN39" s="2">
        <f t="shared" si="22"/>
        <v>15360</v>
      </c>
      <c r="AO39" s="2">
        <f t="shared" si="23"/>
        <v>4.2666666666666666</v>
      </c>
      <c r="AP39">
        <v>1200</v>
      </c>
      <c r="AQ39">
        <v>1200</v>
      </c>
      <c r="AR39" s="2">
        <f t="shared" si="24"/>
        <v>2400</v>
      </c>
      <c r="AS39" s="2">
        <f t="shared" si="25"/>
        <v>19200</v>
      </c>
      <c r="AT39" s="2">
        <f t="shared" si="26"/>
        <v>5.333333333333333</v>
      </c>
      <c r="AU39">
        <v>1120</v>
      </c>
      <c r="AV39">
        <v>1120</v>
      </c>
      <c r="AW39" s="2">
        <f t="shared" si="27"/>
        <v>2240</v>
      </c>
      <c r="AX39" s="2">
        <f t="shared" si="28"/>
        <v>17920</v>
      </c>
      <c r="AY39" s="2">
        <f t="shared" si="29"/>
        <v>4.9777777777777779</v>
      </c>
    </row>
    <row r="40" spans="1:51" x14ac:dyDescent="0.3">
      <c r="A40" s="2" t="s">
        <v>44</v>
      </c>
      <c r="B40">
        <v>1120</v>
      </c>
      <c r="C40">
        <v>1120</v>
      </c>
      <c r="D40" s="2">
        <f t="shared" si="0"/>
        <v>2240</v>
      </c>
      <c r="E40" s="2">
        <f t="shared" si="1"/>
        <v>17920</v>
      </c>
      <c r="F40" s="2">
        <f t="shared" si="2"/>
        <v>4.9777777777777779</v>
      </c>
      <c r="G40">
        <v>960</v>
      </c>
      <c r="H40">
        <v>960</v>
      </c>
      <c r="I40" s="2">
        <f t="shared" si="3"/>
        <v>1920</v>
      </c>
      <c r="J40" s="2">
        <f t="shared" si="4"/>
        <v>15360</v>
      </c>
      <c r="K40" s="2">
        <f t="shared" si="5"/>
        <v>4.2666666666666666</v>
      </c>
      <c r="L40">
        <v>880</v>
      </c>
      <c r="M40">
        <v>880</v>
      </c>
      <c r="N40" s="2">
        <f t="shared" si="6"/>
        <v>1760</v>
      </c>
      <c r="O40" s="2">
        <f t="shared" si="7"/>
        <v>14080</v>
      </c>
      <c r="P40" s="2">
        <f t="shared" si="8"/>
        <v>3.911111111111111</v>
      </c>
      <c r="Q40">
        <v>880</v>
      </c>
      <c r="R40">
        <v>880</v>
      </c>
      <c r="S40" s="2">
        <f t="shared" si="9"/>
        <v>1760</v>
      </c>
      <c r="T40" s="2">
        <f t="shared" si="10"/>
        <v>14080</v>
      </c>
      <c r="U40" s="2">
        <f t="shared" si="11"/>
        <v>3.911111111111111</v>
      </c>
      <c r="V40">
        <v>1040</v>
      </c>
      <c r="W40">
        <v>1040</v>
      </c>
      <c r="X40" s="2">
        <f t="shared" si="12"/>
        <v>2080</v>
      </c>
      <c r="Y40" s="2">
        <f t="shared" si="13"/>
        <v>16640</v>
      </c>
      <c r="Z40" s="2">
        <f t="shared" si="14"/>
        <v>4.6222222222222218</v>
      </c>
      <c r="AA40">
        <v>1040</v>
      </c>
      <c r="AB40">
        <v>1040</v>
      </c>
      <c r="AC40" s="2">
        <f t="shared" si="15"/>
        <v>2080</v>
      </c>
      <c r="AD40" s="2">
        <f t="shared" si="16"/>
        <v>16640</v>
      </c>
      <c r="AE40" s="2">
        <f t="shared" si="17"/>
        <v>4.6222222222222218</v>
      </c>
      <c r="AF40">
        <v>960</v>
      </c>
      <c r="AG40">
        <v>960</v>
      </c>
      <c r="AH40" s="2">
        <f t="shared" si="18"/>
        <v>1920</v>
      </c>
      <c r="AI40" s="2">
        <f t="shared" si="19"/>
        <v>15360</v>
      </c>
      <c r="AJ40" s="2">
        <f t="shared" si="20"/>
        <v>4.2666666666666666</v>
      </c>
      <c r="AK40">
        <v>1040</v>
      </c>
      <c r="AL40">
        <v>1040</v>
      </c>
      <c r="AM40" s="2">
        <f t="shared" si="21"/>
        <v>2080</v>
      </c>
      <c r="AN40" s="2">
        <f t="shared" si="22"/>
        <v>16640</v>
      </c>
      <c r="AO40" s="2">
        <f t="shared" si="23"/>
        <v>4.6222222222222218</v>
      </c>
      <c r="AP40">
        <v>1040</v>
      </c>
      <c r="AQ40">
        <v>1040</v>
      </c>
      <c r="AR40" s="2">
        <f t="shared" si="24"/>
        <v>2080</v>
      </c>
      <c r="AS40" s="2">
        <f t="shared" si="25"/>
        <v>16640</v>
      </c>
      <c r="AT40" s="2">
        <f t="shared" si="26"/>
        <v>4.6222222222222218</v>
      </c>
      <c r="AU40">
        <v>1200</v>
      </c>
      <c r="AV40">
        <v>1200</v>
      </c>
      <c r="AW40" s="2">
        <f t="shared" si="27"/>
        <v>2400</v>
      </c>
      <c r="AX40" s="2">
        <f t="shared" si="28"/>
        <v>19200</v>
      </c>
      <c r="AY40" s="2">
        <f t="shared" si="29"/>
        <v>5.333333333333333</v>
      </c>
    </row>
    <row r="41" spans="1:51" x14ac:dyDescent="0.3">
      <c r="A41" s="2" t="s">
        <v>45</v>
      </c>
      <c r="B41">
        <v>880</v>
      </c>
      <c r="C41">
        <v>880</v>
      </c>
      <c r="D41" s="2">
        <f t="shared" si="0"/>
        <v>1760</v>
      </c>
      <c r="E41" s="2">
        <f t="shared" si="1"/>
        <v>14080</v>
      </c>
      <c r="F41" s="2">
        <f t="shared" si="2"/>
        <v>3.911111111111111</v>
      </c>
      <c r="G41">
        <v>880</v>
      </c>
      <c r="H41">
        <v>880</v>
      </c>
      <c r="I41" s="2">
        <f t="shared" si="3"/>
        <v>1760</v>
      </c>
      <c r="J41" s="2">
        <f t="shared" si="4"/>
        <v>14080</v>
      </c>
      <c r="K41" s="2">
        <f t="shared" si="5"/>
        <v>3.911111111111111</v>
      </c>
      <c r="L41">
        <v>960</v>
      </c>
      <c r="M41">
        <v>960</v>
      </c>
      <c r="N41" s="2">
        <f t="shared" si="6"/>
        <v>1920</v>
      </c>
      <c r="O41" s="2">
        <f t="shared" si="7"/>
        <v>15360</v>
      </c>
      <c r="P41" s="2">
        <f t="shared" si="8"/>
        <v>4.2666666666666666</v>
      </c>
      <c r="Q41">
        <v>1120</v>
      </c>
      <c r="R41">
        <v>1120</v>
      </c>
      <c r="S41" s="2">
        <f t="shared" si="9"/>
        <v>2240</v>
      </c>
      <c r="T41" s="2">
        <f t="shared" si="10"/>
        <v>17920</v>
      </c>
      <c r="U41" s="2">
        <f t="shared" si="11"/>
        <v>4.9777777777777779</v>
      </c>
      <c r="V41">
        <v>880</v>
      </c>
      <c r="W41">
        <v>880</v>
      </c>
      <c r="X41" s="2">
        <f t="shared" si="12"/>
        <v>1760</v>
      </c>
      <c r="Y41" s="2">
        <f t="shared" si="13"/>
        <v>14080</v>
      </c>
      <c r="Z41" s="2">
        <f t="shared" si="14"/>
        <v>3.911111111111111</v>
      </c>
      <c r="AA41">
        <v>1040</v>
      </c>
      <c r="AB41">
        <v>1040</v>
      </c>
      <c r="AC41" s="2">
        <f t="shared" si="15"/>
        <v>2080</v>
      </c>
      <c r="AD41" s="2">
        <f t="shared" si="16"/>
        <v>16640</v>
      </c>
      <c r="AE41" s="2">
        <f t="shared" si="17"/>
        <v>4.6222222222222218</v>
      </c>
      <c r="AF41">
        <v>960</v>
      </c>
      <c r="AG41">
        <v>960</v>
      </c>
      <c r="AH41" s="2">
        <f t="shared" si="18"/>
        <v>1920</v>
      </c>
      <c r="AI41" s="2">
        <f t="shared" si="19"/>
        <v>15360</v>
      </c>
      <c r="AJ41" s="2">
        <f t="shared" si="20"/>
        <v>4.2666666666666666</v>
      </c>
      <c r="AK41">
        <v>960</v>
      </c>
      <c r="AL41">
        <v>960</v>
      </c>
      <c r="AM41" s="2">
        <f t="shared" si="21"/>
        <v>1920</v>
      </c>
      <c r="AN41" s="2">
        <f t="shared" si="22"/>
        <v>15360</v>
      </c>
      <c r="AO41" s="2">
        <f t="shared" si="23"/>
        <v>4.2666666666666666</v>
      </c>
      <c r="AP41">
        <v>880</v>
      </c>
      <c r="AQ41">
        <v>880</v>
      </c>
      <c r="AR41" s="2">
        <f t="shared" si="24"/>
        <v>1760</v>
      </c>
      <c r="AS41" s="2">
        <f t="shared" si="25"/>
        <v>14080</v>
      </c>
      <c r="AT41" s="2">
        <f t="shared" si="26"/>
        <v>3.911111111111111</v>
      </c>
      <c r="AU41">
        <v>880</v>
      </c>
      <c r="AV41">
        <v>880</v>
      </c>
      <c r="AW41" s="2">
        <f t="shared" si="27"/>
        <v>1760</v>
      </c>
      <c r="AX41" s="2">
        <f t="shared" si="28"/>
        <v>14080</v>
      </c>
      <c r="AY41" s="2">
        <f t="shared" si="29"/>
        <v>3.911111111111111</v>
      </c>
    </row>
    <row r="42" spans="1:51" x14ac:dyDescent="0.3">
      <c r="A42" s="2" t="s">
        <v>46</v>
      </c>
      <c r="B42">
        <v>1280</v>
      </c>
      <c r="C42">
        <v>1280</v>
      </c>
      <c r="D42" s="2">
        <f t="shared" si="0"/>
        <v>2560</v>
      </c>
      <c r="E42" s="2">
        <f t="shared" si="1"/>
        <v>20480</v>
      </c>
      <c r="F42" s="2">
        <f t="shared" si="2"/>
        <v>5.6888888888888891</v>
      </c>
      <c r="G42">
        <v>1360</v>
      </c>
      <c r="H42">
        <v>1360</v>
      </c>
      <c r="I42" s="2">
        <f t="shared" si="3"/>
        <v>2720</v>
      </c>
      <c r="J42" s="2">
        <f t="shared" si="4"/>
        <v>21760</v>
      </c>
      <c r="K42" s="2">
        <f t="shared" si="5"/>
        <v>6.0444444444444443</v>
      </c>
      <c r="L42">
        <v>1040</v>
      </c>
      <c r="M42">
        <v>1040</v>
      </c>
      <c r="N42" s="2">
        <f t="shared" si="6"/>
        <v>2080</v>
      </c>
      <c r="O42" s="2">
        <f t="shared" si="7"/>
        <v>16640</v>
      </c>
      <c r="P42" s="2">
        <f t="shared" si="8"/>
        <v>4.6222222222222218</v>
      </c>
      <c r="Q42">
        <v>1280</v>
      </c>
      <c r="R42">
        <v>1280</v>
      </c>
      <c r="S42" s="2">
        <f t="shared" si="9"/>
        <v>2560</v>
      </c>
      <c r="T42" s="2">
        <f t="shared" si="10"/>
        <v>20480</v>
      </c>
      <c r="U42" s="2">
        <f t="shared" si="11"/>
        <v>5.6888888888888891</v>
      </c>
      <c r="V42">
        <v>1120</v>
      </c>
      <c r="W42">
        <v>1120</v>
      </c>
      <c r="X42" s="2">
        <f t="shared" si="12"/>
        <v>2240</v>
      </c>
      <c r="Y42" s="2">
        <f t="shared" si="13"/>
        <v>17920</v>
      </c>
      <c r="Z42" s="2">
        <f t="shared" si="14"/>
        <v>4.9777777777777779</v>
      </c>
      <c r="AA42">
        <v>1040</v>
      </c>
      <c r="AB42">
        <v>1040</v>
      </c>
      <c r="AC42" s="2">
        <f t="shared" si="15"/>
        <v>2080</v>
      </c>
      <c r="AD42" s="2">
        <f t="shared" si="16"/>
        <v>16640</v>
      </c>
      <c r="AE42" s="2">
        <f t="shared" si="17"/>
        <v>4.6222222222222218</v>
      </c>
      <c r="AF42">
        <v>960</v>
      </c>
      <c r="AG42">
        <v>960</v>
      </c>
      <c r="AH42" s="2">
        <f t="shared" si="18"/>
        <v>1920</v>
      </c>
      <c r="AI42" s="2">
        <f t="shared" si="19"/>
        <v>15360</v>
      </c>
      <c r="AJ42" s="2">
        <f t="shared" si="20"/>
        <v>4.2666666666666666</v>
      </c>
      <c r="AK42">
        <v>1200</v>
      </c>
      <c r="AL42">
        <v>1200</v>
      </c>
      <c r="AM42" s="2">
        <f t="shared" si="21"/>
        <v>2400</v>
      </c>
      <c r="AN42" s="2">
        <f t="shared" si="22"/>
        <v>19200</v>
      </c>
      <c r="AO42" s="2">
        <f t="shared" si="23"/>
        <v>5.333333333333333</v>
      </c>
      <c r="AP42">
        <v>1120</v>
      </c>
      <c r="AQ42">
        <v>1120</v>
      </c>
      <c r="AR42" s="2">
        <f t="shared" si="24"/>
        <v>2240</v>
      </c>
      <c r="AS42" s="2">
        <f t="shared" si="25"/>
        <v>17920</v>
      </c>
      <c r="AT42" s="2">
        <f t="shared" si="26"/>
        <v>4.9777777777777779</v>
      </c>
      <c r="AU42">
        <v>880</v>
      </c>
      <c r="AV42">
        <v>880</v>
      </c>
      <c r="AW42" s="2">
        <f t="shared" si="27"/>
        <v>1760</v>
      </c>
      <c r="AX42" s="2">
        <f t="shared" si="28"/>
        <v>14080</v>
      </c>
      <c r="AY42" s="2">
        <f t="shared" si="29"/>
        <v>3.911111111111111</v>
      </c>
    </row>
    <row r="43" spans="1:51" x14ac:dyDescent="0.3">
      <c r="A43" s="2" t="s">
        <v>47</v>
      </c>
      <c r="B43">
        <v>960</v>
      </c>
      <c r="C43">
        <v>960</v>
      </c>
      <c r="D43" s="2">
        <f t="shared" si="0"/>
        <v>1920</v>
      </c>
      <c r="E43" s="2">
        <f t="shared" si="1"/>
        <v>15360</v>
      </c>
      <c r="F43" s="2">
        <f t="shared" si="2"/>
        <v>4.2666666666666666</v>
      </c>
      <c r="G43">
        <v>1120</v>
      </c>
      <c r="H43">
        <v>1120</v>
      </c>
      <c r="I43" s="2">
        <f t="shared" si="3"/>
        <v>2240</v>
      </c>
      <c r="J43" s="2">
        <f t="shared" si="4"/>
        <v>17920</v>
      </c>
      <c r="K43" s="2">
        <f t="shared" si="5"/>
        <v>4.9777777777777779</v>
      </c>
      <c r="L43">
        <v>1200</v>
      </c>
      <c r="M43">
        <v>1200</v>
      </c>
      <c r="N43" s="2">
        <f t="shared" si="6"/>
        <v>2400</v>
      </c>
      <c r="O43" s="2">
        <f t="shared" si="7"/>
        <v>19200</v>
      </c>
      <c r="P43" s="2">
        <f t="shared" si="8"/>
        <v>5.333333333333333</v>
      </c>
      <c r="Q43">
        <v>1200</v>
      </c>
      <c r="R43">
        <v>1200</v>
      </c>
      <c r="S43" s="2">
        <f t="shared" si="9"/>
        <v>2400</v>
      </c>
      <c r="T43" s="2">
        <f t="shared" si="10"/>
        <v>19200</v>
      </c>
      <c r="U43" s="2">
        <f t="shared" si="11"/>
        <v>5.333333333333333</v>
      </c>
      <c r="V43">
        <v>1120</v>
      </c>
      <c r="W43">
        <v>1120</v>
      </c>
      <c r="X43" s="2">
        <f t="shared" si="12"/>
        <v>2240</v>
      </c>
      <c r="Y43" s="2">
        <f t="shared" si="13"/>
        <v>17920</v>
      </c>
      <c r="Z43" s="2">
        <f t="shared" si="14"/>
        <v>4.9777777777777779</v>
      </c>
      <c r="AA43">
        <v>1200</v>
      </c>
      <c r="AB43">
        <v>1200</v>
      </c>
      <c r="AC43" s="2">
        <f t="shared" si="15"/>
        <v>2400</v>
      </c>
      <c r="AD43" s="2">
        <f t="shared" si="16"/>
        <v>19200</v>
      </c>
      <c r="AE43" s="2">
        <f t="shared" si="17"/>
        <v>5.333333333333333</v>
      </c>
      <c r="AF43">
        <v>1040</v>
      </c>
      <c r="AG43">
        <v>1040</v>
      </c>
      <c r="AH43" s="2">
        <f t="shared" si="18"/>
        <v>2080</v>
      </c>
      <c r="AI43" s="2">
        <f t="shared" si="19"/>
        <v>16640</v>
      </c>
      <c r="AJ43" s="2">
        <f t="shared" si="20"/>
        <v>4.6222222222222218</v>
      </c>
      <c r="AK43">
        <v>1120</v>
      </c>
      <c r="AL43">
        <v>1120</v>
      </c>
      <c r="AM43" s="2">
        <f t="shared" si="21"/>
        <v>2240</v>
      </c>
      <c r="AN43" s="2">
        <f t="shared" si="22"/>
        <v>17920</v>
      </c>
      <c r="AO43" s="2">
        <f t="shared" si="23"/>
        <v>4.9777777777777779</v>
      </c>
      <c r="AP43">
        <v>1120</v>
      </c>
      <c r="AQ43">
        <v>1120</v>
      </c>
      <c r="AR43" s="2">
        <f t="shared" si="24"/>
        <v>2240</v>
      </c>
      <c r="AS43" s="2">
        <f t="shared" si="25"/>
        <v>17920</v>
      </c>
      <c r="AT43" s="2">
        <f t="shared" si="26"/>
        <v>4.9777777777777779</v>
      </c>
      <c r="AU43">
        <v>1040</v>
      </c>
      <c r="AV43">
        <v>1040</v>
      </c>
      <c r="AW43" s="2">
        <f t="shared" si="27"/>
        <v>2080</v>
      </c>
      <c r="AX43" s="2">
        <f t="shared" si="28"/>
        <v>16640</v>
      </c>
      <c r="AY43" s="2">
        <f t="shared" si="29"/>
        <v>4.6222222222222218</v>
      </c>
    </row>
    <row r="44" spans="1:51" x14ac:dyDescent="0.3">
      <c r="A44" s="2" t="s">
        <v>48</v>
      </c>
      <c r="B44">
        <v>1120</v>
      </c>
      <c r="C44">
        <v>1120</v>
      </c>
      <c r="D44" s="2">
        <f t="shared" si="0"/>
        <v>2240</v>
      </c>
      <c r="E44" s="2">
        <f t="shared" si="1"/>
        <v>17920</v>
      </c>
      <c r="F44" s="2">
        <f t="shared" si="2"/>
        <v>4.9777777777777779</v>
      </c>
      <c r="G44">
        <v>1040</v>
      </c>
      <c r="H44">
        <v>1040</v>
      </c>
      <c r="I44" s="2">
        <f t="shared" si="3"/>
        <v>2080</v>
      </c>
      <c r="J44" s="2">
        <f t="shared" si="4"/>
        <v>16640</v>
      </c>
      <c r="K44" s="2">
        <f t="shared" si="5"/>
        <v>4.6222222222222218</v>
      </c>
      <c r="L44">
        <v>1200</v>
      </c>
      <c r="M44">
        <v>1200</v>
      </c>
      <c r="N44" s="2">
        <f t="shared" si="6"/>
        <v>2400</v>
      </c>
      <c r="O44" s="2">
        <f t="shared" si="7"/>
        <v>19200</v>
      </c>
      <c r="P44" s="2">
        <f t="shared" si="8"/>
        <v>5.333333333333333</v>
      </c>
      <c r="Q44">
        <v>1200</v>
      </c>
      <c r="R44">
        <v>1200</v>
      </c>
      <c r="S44" s="2">
        <f t="shared" si="9"/>
        <v>2400</v>
      </c>
      <c r="T44" s="2">
        <f t="shared" si="10"/>
        <v>19200</v>
      </c>
      <c r="U44" s="2">
        <f t="shared" si="11"/>
        <v>5.333333333333333</v>
      </c>
      <c r="V44">
        <v>1120</v>
      </c>
      <c r="W44">
        <v>1120</v>
      </c>
      <c r="X44" s="2">
        <f t="shared" si="12"/>
        <v>2240</v>
      </c>
      <c r="Y44" s="2">
        <f t="shared" si="13"/>
        <v>17920</v>
      </c>
      <c r="Z44" s="2">
        <f t="shared" si="14"/>
        <v>4.9777777777777779</v>
      </c>
      <c r="AA44">
        <v>1120</v>
      </c>
      <c r="AB44">
        <v>1120</v>
      </c>
      <c r="AC44" s="2">
        <f t="shared" si="15"/>
        <v>2240</v>
      </c>
      <c r="AD44" s="2">
        <f t="shared" si="16"/>
        <v>17920</v>
      </c>
      <c r="AE44" s="2">
        <f t="shared" si="17"/>
        <v>4.9777777777777779</v>
      </c>
      <c r="AF44">
        <v>1200</v>
      </c>
      <c r="AG44">
        <v>1200</v>
      </c>
      <c r="AH44" s="2">
        <f t="shared" si="18"/>
        <v>2400</v>
      </c>
      <c r="AI44" s="2">
        <f t="shared" si="19"/>
        <v>19200</v>
      </c>
      <c r="AJ44" s="2">
        <f t="shared" si="20"/>
        <v>5.333333333333333</v>
      </c>
      <c r="AK44">
        <v>1200</v>
      </c>
      <c r="AL44">
        <v>1200</v>
      </c>
      <c r="AM44" s="2">
        <f t="shared" si="21"/>
        <v>2400</v>
      </c>
      <c r="AN44" s="2">
        <f t="shared" si="22"/>
        <v>19200</v>
      </c>
      <c r="AO44" s="2">
        <f t="shared" si="23"/>
        <v>5.333333333333333</v>
      </c>
      <c r="AP44">
        <v>960</v>
      </c>
      <c r="AQ44">
        <v>960</v>
      </c>
      <c r="AR44" s="2">
        <f t="shared" si="24"/>
        <v>1920</v>
      </c>
      <c r="AS44" s="2">
        <f t="shared" si="25"/>
        <v>15360</v>
      </c>
      <c r="AT44" s="2">
        <f t="shared" si="26"/>
        <v>4.2666666666666666</v>
      </c>
      <c r="AU44">
        <v>1120</v>
      </c>
      <c r="AV44">
        <v>1120</v>
      </c>
      <c r="AW44" s="2">
        <f t="shared" si="27"/>
        <v>2240</v>
      </c>
      <c r="AX44" s="2">
        <f t="shared" si="28"/>
        <v>17920</v>
      </c>
      <c r="AY44" s="2">
        <f t="shared" si="29"/>
        <v>4.9777777777777779</v>
      </c>
    </row>
    <row r="45" spans="1:51" x14ac:dyDescent="0.3">
      <c r="A45" s="2" t="s">
        <v>49</v>
      </c>
      <c r="B45">
        <v>1040</v>
      </c>
      <c r="C45">
        <v>1040</v>
      </c>
      <c r="D45" s="2">
        <f t="shared" si="0"/>
        <v>2080</v>
      </c>
      <c r="E45" s="2">
        <f t="shared" si="1"/>
        <v>16640</v>
      </c>
      <c r="F45" s="2">
        <f t="shared" si="2"/>
        <v>4.6222222222222218</v>
      </c>
      <c r="G45">
        <v>1040</v>
      </c>
      <c r="H45">
        <v>1040</v>
      </c>
      <c r="I45" s="2">
        <f t="shared" si="3"/>
        <v>2080</v>
      </c>
      <c r="J45" s="2">
        <f t="shared" si="4"/>
        <v>16640</v>
      </c>
      <c r="K45" s="2">
        <f t="shared" si="5"/>
        <v>4.6222222222222218</v>
      </c>
      <c r="L45">
        <v>960</v>
      </c>
      <c r="M45">
        <v>960</v>
      </c>
      <c r="N45" s="2">
        <f t="shared" si="6"/>
        <v>1920</v>
      </c>
      <c r="O45" s="2">
        <f t="shared" si="7"/>
        <v>15360</v>
      </c>
      <c r="P45" s="2">
        <f t="shared" si="8"/>
        <v>4.2666666666666666</v>
      </c>
      <c r="Q45">
        <v>1120</v>
      </c>
      <c r="R45">
        <v>1120</v>
      </c>
      <c r="S45" s="2">
        <f t="shared" si="9"/>
        <v>2240</v>
      </c>
      <c r="T45" s="2">
        <f t="shared" si="10"/>
        <v>17920</v>
      </c>
      <c r="U45" s="2">
        <f t="shared" si="11"/>
        <v>4.9777777777777779</v>
      </c>
      <c r="V45">
        <v>1040</v>
      </c>
      <c r="W45">
        <v>1040</v>
      </c>
      <c r="X45" s="2">
        <f t="shared" si="12"/>
        <v>2080</v>
      </c>
      <c r="Y45" s="2">
        <f t="shared" si="13"/>
        <v>16640</v>
      </c>
      <c r="Z45" s="2">
        <f t="shared" si="14"/>
        <v>4.6222222222222218</v>
      </c>
      <c r="AA45">
        <v>960</v>
      </c>
      <c r="AB45">
        <v>960</v>
      </c>
      <c r="AC45" s="2">
        <f t="shared" si="15"/>
        <v>1920</v>
      </c>
      <c r="AD45" s="2">
        <f t="shared" si="16"/>
        <v>15360</v>
      </c>
      <c r="AE45" s="2">
        <f t="shared" si="17"/>
        <v>4.2666666666666666</v>
      </c>
      <c r="AF45">
        <v>960</v>
      </c>
      <c r="AG45">
        <v>960</v>
      </c>
      <c r="AH45" s="2">
        <f t="shared" si="18"/>
        <v>1920</v>
      </c>
      <c r="AI45" s="2">
        <f t="shared" si="19"/>
        <v>15360</v>
      </c>
      <c r="AJ45" s="2">
        <f t="shared" si="20"/>
        <v>4.2666666666666666</v>
      </c>
      <c r="AK45">
        <v>1200</v>
      </c>
      <c r="AL45">
        <v>1200</v>
      </c>
      <c r="AM45" s="2">
        <f t="shared" si="21"/>
        <v>2400</v>
      </c>
      <c r="AN45" s="2">
        <f t="shared" si="22"/>
        <v>19200</v>
      </c>
      <c r="AO45" s="2">
        <f t="shared" si="23"/>
        <v>5.333333333333333</v>
      </c>
      <c r="AP45">
        <v>1040</v>
      </c>
      <c r="AQ45">
        <v>1040</v>
      </c>
      <c r="AR45" s="2">
        <f t="shared" si="24"/>
        <v>2080</v>
      </c>
      <c r="AS45" s="2">
        <f t="shared" si="25"/>
        <v>16640</v>
      </c>
      <c r="AT45" s="2">
        <f t="shared" si="26"/>
        <v>4.6222222222222218</v>
      </c>
      <c r="AU45">
        <v>1280</v>
      </c>
      <c r="AV45">
        <v>1280</v>
      </c>
      <c r="AW45" s="2">
        <f t="shared" si="27"/>
        <v>2560</v>
      </c>
      <c r="AX45" s="2">
        <f t="shared" si="28"/>
        <v>20480</v>
      </c>
      <c r="AY45" s="2">
        <f t="shared" si="29"/>
        <v>5.6888888888888891</v>
      </c>
    </row>
    <row r="46" spans="1:51" x14ac:dyDescent="0.3">
      <c r="A46" s="2" t="s">
        <v>50</v>
      </c>
      <c r="B46">
        <v>1200</v>
      </c>
      <c r="C46">
        <v>1200</v>
      </c>
      <c r="D46" s="2">
        <f t="shared" si="0"/>
        <v>2400</v>
      </c>
      <c r="E46" s="2">
        <f t="shared" si="1"/>
        <v>19200</v>
      </c>
      <c r="F46" s="2">
        <f t="shared" si="2"/>
        <v>5.333333333333333</v>
      </c>
      <c r="G46">
        <v>1120</v>
      </c>
      <c r="H46">
        <v>1120</v>
      </c>
      <c r="I46" s="2">
        <f t="shared" si="3"/>
        <v>2240</v>
      </c>
      <c r="J46" s="2">
        <f t="shared" si="4"/>
        <v>17920</v>
      </c>
      <c r="K46" s="2">
        <f t="shared" si="5"/>
        <v>4.9777777777777779</v>
      </c>
      <c r="L46">
        <v>1120</v>
      </c>
      <c r="M46">
        <v>1120</v>
      </c>
      <c r="N46" s="2">
        <f t="shared" si="6"/>
        <v>2240</v>
      </c>
      <c r="O46" s="2">
        <f t="shared" si="7"/>
        <v>17920</v>
      </c>
      <c r="P46" s="2">
        <f t="shared" si="8"/>
        <v>4.9777777777777779</v>
      </c>
      <c r="Q46">
        <v>960</v>
      </c>
      <c r="R46">
        <v>960</v>
      </c>
      <c r="S46" s="2">
        <f t="shared" si="9"/>
        <v>1920</v>
      </c>
      <c r="T46" s="2">
        <f t="shared" si="10"/>
        <v>15360</v>
      </c>
      <c r="U46" s="2">
        <f t="shared" si="11"/>
        <v>4.2666666666666666</v>
      </c>
      <c r="V46">
        <v>1120</v>
      </c>
      <c r="W46">
        <v>1120</v>
      </c>
      <c r="X46" s="2">
        <f t="shared" si="12"/>
        <v>2240</v>
      </c>
      <c r="Y46" s="2">
        <f t="shared" si="13"/>
        <v>17920</v>
      </c>
      <c r="Z46" s="2">
        <f t="shared" si="14"/>
        <v>4.9777777777777779</v>
      </c>
      <c r="AA46">
        <v>1200</v>
      </c>
      <c r="AB46">
        <v>1200</v>
      </c>
      <c r="AC46" s="2">
        <f t="shared" si="15"/>
        <v>2400</v>
      </c>
      <c r="AD46" s="2">
        <f t="shared" si="16"/>
        <v>19200</v>
      </c>
      <c r="AE46" s="2">
        <f t="shared" si="17"/>
        <v>5.333333333333333</v>
      </c>
      <c r="AF46">
        <v>1280</v>
      </c>
      <c r="AG46">
        <v>1280</v>
      </c>
      <c r="AH46" s="2">
        <f t="shared" si="18"/>
        <v>2560</v>
      </c>
      <c r="AI46" s="2">
        <f t="shared" si="19"/>
        <v>20480</v>
      </c>
      <c r="AJ46" s="2">
        <f t="shared" si="20"/>
        <v>5.6888888888888891</v>
      </c>
      <c r="AK46">
        <v>1280</v>
      </c>
      <c r="AL46">
        <v>1280</v>
      </c>
      <c r="AM46" s="2">
        <f t="shared" si="21"/>
        <v>2560</v>
      </c>
      <c r="AN46" s="2">
        <f t="shared" si="22"/>
        <v>20480</v>
      </c>
      <c r="AO46" s="2">
        <f t="shared" si="23"/>
        <v>5.6888888888888891</v>
      </c>
      <c r="AP46">
        <v>1120</v>
      </c>
      <c r="AQ46">
        <v>1120</v>
      </c>
      <c r="AR46" s="2">
        <f t="shared" si="24"/>
        <v>2240</v>
      </c>
      <c r="AS46" s="2">
        <f t="shared" si="25"/>
        <v>17920</v>
      </c>
      <c r="AT46" s="2">
        <f t="shared" si="26"/>
        <v>4.9777777777777779</v>
      </c>
      <c r="AU46">
        <v>1280</v>
      </c>
      <c r="AV46">
        <v>1280</v>
      </c>
      <c r="AW46" s="2">
        <f t="shared" si="27"/>
        <v>2560</v>
      </c>
      <c r="AX46" s="2">
        <f t="shared" si="28"/>
        <v>20480</v>
      </c>
      <c r="AY46" s="2">
        <f t="shared" si="29"/>
        <v>5.6888888888888891</v>
      </c>
    </row>
    <row r="47" spans="1:51" x14ac:dyDescent="0.3">
      <c r="A47" s="2" t="s">
        <v>51</v>
      </c>
      <c r="B47">
        <v>1040</v>
      </c>
      <c r="C47">
        <v>1040</v>
      </c>
      <c r="D47" s="2">
        <f t="shared" si="0"/>
        <v>2080</v>
      </c>
      <c r="E47" s="2">
        <f t="shared" si="1"/>
        <v>16640</v>
      </c>
      <c r="F47" s="2">
        <f t="shared" si="2"/>
        <v>4.6222222222222218</v>
      </c>
      <c r="G47">
        <v>1120</v>
      </c>
      <c r="H47">
        <v>1120</v>
      </c>
      <c r="I47" s="2">
        <f t="shared" si="3"/>
        <v>2240</v>
      </c>
      <c r="J47" s="2">
        <f t="shared" si="4"/>
        <v>17920</v>
      </c>
      <c r="K47" s="2">
        <f t="shared" si="5"/>
        <v>4.9777777777777779</v>
      </c>
      <c r="L47">
        <v>1120</v>
      </c>
      <c r="M47">
        <v>1120</v>
      </c>
      <c r="N47" s="2">
        <f t="shared" si="6"/>
        <v>2240</v>
      </c>
      <c r="O47" s="2">
        <f t="shared" si="7"/>
        <v>17920</v>
      </c>
      <c r="P47" s="2">
        <f t="shared" si="8"/>
        <v>4.9777777777777779</v>
      </c>
      <c r="Q47">
        <v>1040</v>
      </c>
      <c r="R47">
        <v>1040</v>
      </c>
      <c r="S47" s="2">
        <f t="shared" si="9"/>
        <v>2080</v>
      </c>
      <c r="T47" s="2">
        <f t="shared" si="10"/>
        <v>16640</v>
      </c>
      <c r="U47" s="2">
        <f t="shared" si="11"/>
        <v>4.6222222222222218</v>
      </c>
      <c r="V47">
        <v>1040</v>
      </c>
      <c r="W47">
        <v>1040</v>
      </c>
      <c r="X47" s="2">
        <f t="shared" si="12"/>
        <v>2080</v>
      </c>
      <c r="Y47" s="2">
        <f t="shared" si="13"/>
        <v>16640</v>
      </c>
      <c r="Z47" s="2">
        <f t="shared" si="14"/>
        <v>4.6222222222222218</v>
      </c>
      <c r="AA47">
        <v>880</v>
      </c>
      <c r="AB47">
        <v>880</v>
      </c>
      <c r="AC47" s="2">
        <f t="shared" si="15"/>
        <v>1760</v>
      </c>
      <c r="AD47" s="2">
        <f t="shared" si="16"/>
        <v>14080</v>
      </c>
      <c r="AE47" s="2">
        <f t="shared" si="17"/>
        <v>3.911111111111111</v>
      </c>
      <c r="AF47">
        <v>1120</v>
      </c>
      <c r="AG47">
        <v>1120</v>
      </c>
      <c r="AH47" s="2">
        <f t="shared" si="18"/>
        <v>2240</v>
      </c>
      <c r="AI47" s="2">
        <f t="shared" si="19"/>
        <v>17920</v>
      </c>
      <c r="AJ47" s="2">
        <f t="shared" si="20"/>
        <v>4.9777777777777779</v>
      </c>
      <c r="AK47">
        <v>1120</v>
      </c>
      <c r="AL47">
        <v>1120</v>
      </c>
      <c r="AM47" s="2">
        <f t="shared" si="21"/>
        <v>2240</v>
      </c>
      <c r="AN47" s="2">
        <f t="shared" si="22"/>
        <v>17920</v>
      </c>
      <c r="AO47" s="2">
        <f t="shared" si="23"/>
        <v>4.9777777777777779</v>
      </c>
      <c r="AP47">
        <v>1120</v>
      </c>
      <c r="AQ47">
        <v>1120</v>
      </c>
      <c r="AR47" s="2">
        <f t="shared" si="24"/>
        <v>2240</v>
      </c>
      <c r="AS47" s="2">
        <f t="shared" si="25"/>
        <v>17920</v>
      </c>
      <c r="AT47" s="2">
        <f t="shared" si="26"/>
        <v>4.9777777777777779</v>
      </c>
      <c r="AU47">
        <v>960</v>
      </c>
      <c r="AV47">
        <v>960</v>
      </c>
      <c r="AW47" s="2">
        <f t="shared" si="27"/>
        <v>1920</v>
      </c>
      <c r="AX47" s="2">
        <f t="shared" si="28"/>
        <v>15360</v>
      </c>
      <c r="AY47" s="2">
        <f t="shared" si="29"/>
        <v>4.2666666666666666</v>
      </c>
    </row>
    <row r="48" spans="1:51" x14ac:dyDescent="0.3">
      <c r="A48" s="2" t="s">
        <v>52</v>
      </c>
      <c r="B48">
        <v>1120</v>
      </c>
      <c r="C48">
        <v>1120</v>
      </c>
      <c r="D48" s="2">
        <f t="shared" si="0"/>
        <v>2240</v>
      </c>
      <c r="E48" s="2">
        <f t="shared" si="1"/>
        <v>17920</v>
      </c>
      <c r="F48" s="2">
        <f t="shared" si="2"/>
        <v>4.9777777777777779</v>
      </c>
      <c r="G48">
        <v>1120</v>
      </c>
      <c r="H48">
        <v>1120</v>
      </c>
      <c r="I48" s="2">
        <f t="shared" si="3"/>
        <v>2240</v>
      </c>
      <c r="J48" s="2">
        <f t="shared" si="4"/>
        <v>17920</v>
      </c>
      <c r="K48" s="2">
        <f t="shared" si="5"/>
        <v>4.9777777777777779</v>
      </c>
      <c r="L48">
        <v>800</v>
      </c>
      <c r="M48">
        <v>800</v>
      </c>
      <c r="N48" s="2">
        <f t="shared" si="6"/>
        <v>1600</v>
      </c>
      <c r="O48" s="2">
        <f t="shared" si="7"/>
        <v>12800</v>
      </c>
      <c r="P48" s="2">
        <f t="shared" si="8"/>
        <v>3.5555555555555554</v>
      </c>
      <c r="Q48">
        <v>960</v>
      </c>
      <c r="R48">
        <v>960</v>
      </c>
      <c r="S48" s="2">
        <f t="shared" si="9"/>
        <v>1920</v>
      </c>
      <c r="T48" s="2">
        <f t="shared" si="10"/>
        <v>15360</v>
      </c>
      <c r="U48" s="2">
        <f t="shared" si="11"/>
        <v>4.2666666666666666</v>
      </c>
      <c r="V48">
        <v>960</v>
      </c>
      <c r="W48">
        <v>960</v>
      </c>
      <c r="X48" s="2">
        <f t="shared" si="12"/>
        <v>1920</v>
      </c>
      <c r="Y48" s="2">
        <f t="shared" si="13"/>
        <v>15360</v>
      </c>
      <c r="Z48" s="2">
        <f t="shared" si="14"/>
        <v>4.2666666666666666</v>
      </c>
      <c r="AA48">
        <v>880</v>
      </c>
      <c r="AB48">
        <v>880</v>
      </c>
      <c r="AC48" s="2">
        <f t="shared" si="15"/>
        <v>1760</v>
      </c>
      <c r="AD48" s="2">
        <f t="shared" si="16"/>
        <v>14080</v>
      </c>
      <c r="AE48" s="2">
        <f t="shared" si="17"/>
        <v>3.911111111111111</v>
      </c>
      <c r="AF48">
        <v>880</v>
      </c>
      <c r="AG48">
        <v>880</v>
      </c>
      <c r="AH48" s="2">
        <f t="shared" si="18"/>
        <v>1760</v>
      </c>
      <c r="AI48" s="2">
        <f t="shared" si="19"/>
        <v>14080</v>
      </c>
      <c r="AJ48" s="2">
        <f t="shared" si="20"/>
        <v>3.911111111111111</v>
      </c>
      <c r="AK48">
        <v>960</v>
      </c>
      <c r="AL48">
        <v>960</v>
      </c>
      <c r="AM48" s="2">
        <f t="shared" si="21"/>
        <v>1920</v>
      </c>
      <c r="AN48" s="2">
        <f t="shared" si="22"/>
        <v>15360</v>
      </c>
      <c r="AO48" s="2">
        <f t="shared" si="23"/>
        <v>4.2666666666666666</v>
      </c>
      <c r="AP48">
        <v>1040</v>
      </c>
      <c r="AQ48">
        <v>1040</v>
      </c>
      <c r="AR48" s="2">
        <f t="shared" si="24"/>
        <v>2080</v>
      </c>
      <c r="AS48" s="2">
        <f t="shared" si="25"/>
        <v>16640</v>
      </c>
      <c r="AT48" s="2">
        <f t="shared" si="26"/>
        <v>4.6222222222222218</v>
      </c>
      <c r="AU48">
        <v>960</v>
      </c>
      <c r="AV48">
        <v>960</v>
      </c>
      <c r="AW48" s="2">
        <f t="shared" si="27"/>
        <v>1920</v>
      </c>
      <c r="AX48" s="2">
        <f t="shared" si="28"/>
        <v>15360</v>
      </c>
      <c r="AY48" s="2">
        <f t="shared" si="29"/>
        <v>4.2666666666666666</v>
      </c>
    </row>
    <row r="49" spans="1:51" x14ac:dyDescent="0.3">
      <c r="A49" s="2" t="s">
        <v>53</v>
      </c>
      <c r="B49">
        <v>1360</v>
      </c>
      <c r="C49">
        <v>1360</v>
      </c>
      <c r="D49" s="2">
        <f t="shared" si="0"/>
        <v>2720</v>
      </c>
      <c r="E49" s="2">
        <f t="shared" si="1"/>
        <v>21760</v>
      </c>
      <c r="F49" s="2">
        <f t="shared" si="2"/>
        <v>6.0444444444444443</v>
      </c>
      <c r="G49">
        <v>1120</v>
      </c>
      <c r="H49">
        <v>1120</v>
      </c>
      <c r="I49" s="2">
        <f t="shared" si="3"/>
        <v>2240</v>
      </c>
      <c r="J49" s="2">
        <f t="shared" si="4"/>
        <v>17920</v>
      </c>
      <c r="K49" s="2">
        <f t="shared" si="5"/>
        <v>4.9777777777777779</v>
      </c>
      <c r="L49">
        <v>1120</v>
      </c>
      <c r="M49">
        <v>1120</v>
      </c>
      <c r="N49" s="2">
        <f t="shared" si="6"/>
        <v>2240</v>
      </c>
      <c r="O49" s="2">
        <f t="shared" si="7"/>
        <v>17920</v>
      </c>
      <c r="P49" s="2">
        <f t="shared" si="8"/>
        <v>4.9777777777777779</v>
      </c>
      <c r="Q49">
        <v>1200</v>
      </c>
      <c r="R49">
        <v>1200</v>
      </c>
      <c r="S49" s="2">
        <f t="shared" si="9"/>
        <v>2400</v>
      </c>
      <c r="T49" s="2">
        <f t="shared" si="10"/>
        <v>19200</v>
      </c>
      <c r="U49" s="2">
        <f t="shared" si="11"/>
        <v>5.333333333333333</v>
      </c>
      <c r="V49">
        <v>1120</v>
      </c>
      <c r="W49">
        <v>1120</v>
      </c>
      <c r="X49" s="2">
        <f t="shared" si="12"/>
        <v>2240</v>
      </c>
      <c r="Y49" s="2">
        <f t="shared" si="13"/>
        <v>17920</v>
      </c>
      <c r="Z49" s="2">
        <f t="shared" si="14"/>
        <v>4.9777777777777779</v>
      </c>
      <c r="AA49">
        <v>1040</v>
      </c>
      <c r="AB49">
        <v>1040</v>
      </c>
      <c r="AC49" s="2">
        <f t="shared" si="15"/>
        <v>2080</v>
      </c>
      <c r="AD49" s="2">
        <f t="shared" si="16"/>
        <v>16640</v>
      </c>
      <c r="AE49" s="2">
        <f t="shared" si="17"/>
        <v>4.6222222222222218</v>
      </c>
      <c r="AF49">
        <v>960</v>
      </c>
      <c r="AG49">
        <v>960</v>
      </c>
      <c r="AH49" s="2">
        <f t="shared" si="18"/>
        <v>1920</v>
      </c>
      <c r="AI49" s="2">
        <f t="shared" si="19"/>
        <v>15360</v>
      </c>
      <c r="AJ49" s="2">
        <f t="shared" si="20"/>
        <v>4.2666666666666666</v>
      </c>
      <c r="AK49">
        <v>1200</v>
      </c>
      <c r="AL49">
        <v>1200</v>
      </c>
      <c r="AM49" s="2">
        <f t="shared" si="21"/>
        <v>2400</v>
      </c>
      <c r="AN49" s="2">
        <f t="shared" si="22"/>
        <v>19200</v>
      </c>
      <c r="AO49" s="2">
        <f t="shared" si="23"/>
        <v>5.333333333333333</v>
      </c>
      <c r="AP49">
        <v>1120</v>
      </c>
      <c r="AQ49">
        <v>1120</v>
      </c>
      <c r="AR49" s="2">
        <f t="shared" si="24"/>
        <v>2240</v>
      </c>
      <c r="AS49" s="2">
        <f t="shared" si="25"/>
        <v>17920</v>
      </c>
      <c r="AT49" s="2">
        <f t="shared" si="26"/>
        <v>4.9777777777777779</v>
      </c>
      <c r="AU49">
        <v>1200</v>
      </c>
      <c r="AV49">
        <v>1200</v>
      </c>
      <c r="AW49" s="2">
        <f t="shared" si="27"/>
        <v>2400</v>
      </c>
      <c r="AX49" s="2">
        <f t="shared" si="28"/>
        <v>19200</v>
      </c>
      <c r="AY49" s="2">
        <f t="shared" si="29"/>
        <v>5.333333333333333</v>
      </c>
    </row>
    <row r="50" spans="1:51" x14ac:dyDescent="0.3">
      <c r="A50" s="2" t="s">
        <v>54</v>
      </c>
      <c r="B50">
        <v>960</v>
      </c>
      <c r="C50">
        <v>960</v>
      </c>
      <c r="D50" s="2">
        <f t="shared" si="0"/>
        <v>1920</v>
      </c>
      <c r="E50" s="2">
        <f t="shared" si="1"/>
        <v>15360</v>
      </c>
      <c r="F50" s="2">
        <f t="shared" si="2"/>
        <v>4.2666666666666666</v>
      </c>
      <c r="G50">
        <v>880</v>
      </c>
      <c r="H50">
        <v>880</v>
      </c>
      <c r="I50" s="2">
        <f t="shared" si="3"/>
        <v>1760</v>
      </c>
      <c r="J50" s="2">
        <f t="shared" si="4"/>
        <v>14080</v>
      </c>
      <c r="K50" s="2">
        <f t="shared" si="5"/>
        <v>3.911111111111111</v>
      </c>
      <c r="L50">
        <v>1280</v>
      </c>
      <c r="M50">
        <v>1280</v>
      </c>
      <c r="N50" s="2">
        <f t="shared" si="6"/>
        <v>2560</v>
      </c>
      <c r="O50" s="2">
        <f t="shared" si="7"/>
        <v>20480</v>
      </c>
      <c r="P50" s="2">
        <f t="shared" si="8"/>
        <v>5.6888888888888891</v>
      </c>
      <c r="Q50">
        <v>960</v>
      </c>
      <c r="R50">
        <v>960</v>
      </c>
      <c r="S50" s="2">
        <f t="shared" si="9"/>
        <v>1920</v>
      </c>
      <c r="T50" s="2">
        <f t="shared" si="10"/>
        <v>15360</v>
      </c>
      <c r="U50" s="2">
        <f t="shared" si="11"/>
        <v>4.2666666666666666</v>
      </c>
      <c r="V50">
        <v>1120</v>
      </c>
      <c r="W50">
        <v>1120</v>
      </c>
      <c r="X50" s="2">
        <f t="shared" si="12"/>
        <v>2240</v>
      </c>
      <c r="Y50" s="2">
        <f t="shared" si="13"/>
        <v>17920</v>
      </c>
      <c r="Z50" s="2">
        <f t="shared" si="14"/>
        <v>4.9777777777777779</v>
      </c>
      <c r="AA50">
        <v>1280</v>
      </c>
      <c r="AB50">
        <v>1280</v>
      </c>
      <c r="AC50" s="2">
        <f t="shared" si="15"/>
        <v>2560</v>
      </c>
      <c r="AD50" s="2">
        <f t="shared" si="16"/>
        <v>20480</v>
      </c>
      <c r="AE50" s="2">
        <f t="shared" si="17"/>
        <v>5.6888888888888891</v>
      </c>
      <c r="AF50">
        <v>1120</v>
      </c>
      <c r="AG50">
        <v>1120</v>
      </c>
      <c r="AH50" s="2">
        <f t="shared" si="18"/>
        <v>2240</v>
      </c>
      <c r="AI50" s="2">
        <f t="shared" si="19"/>
        <v>17920</v>
      </c>
      <c r="AJ50" s="2">
        <f t="shared" si="20"/>
        <v>4.9777777777777779</v>
      </c>
      <c r="AK50">
        <v>1120</v>
      </c>
      <c r="AL50">
        <v>1120</v>
      </c>
      <c r="AM50" s="2">
        <f t="shared" si="21"/>
        <v>2240</v>
      </c>
      <c r="AN50" s="2">
        <f t="shared" si="22"/>
        <v>17920</v>
      </c>
      <c r="AO50" s="2">
        <f t="shared" si="23"/>
        <v>4.9777777777777779</v>
      </c>
      <c r="AP50">
        <v>1040</v>
      </c>
      <c r="AQ50">
        <v>1040</v>
      </c>
      <c r="AR50" s="2">
        <f t="shared" si="24"/>
        <v>2080</v>
      </c>
      <c r="AS50" s="2">
        <f t="shared" si="25"/>
        <v>16640</v>
      </c>
      <c r="AT50" s="2">
        <f t="shared" si="26"/>
        <v>4.6222222222222218</v>
      </c>
      <c r="AU50">
        <v>960</v>
      </c>
      <c r="AV50">
        <v>960</v>
      </c>
      <c r="AW50" s="2">
        <f t="shared" si="27"/>
        <v>1920</v>
      </c>
      <c r="AX50" s="2">
        <f t="shared" si="28"/>
        <v>15360</v>
      </c>
      <c r="AY50" s="2">
        <f t="shared" si="29"/>
        <v>4.2666666666666666</v>
      </c>
    </row>
    <row r="51" spans="1:51" x14ac:dyDescent="0.3">
      <c r="A51" s="2" t="s">
        <v>55</v>
      </c>
      <c r="B51">
        <v>1040</v>
      </c>
      <c r="C51">
        <v>1040</v>
      </c>
      <c r="D51" s="2">
        <f t="shared" si="0"/>
        <v>2080</v>
      </c>
      <c r="E51" s="2">
        <f t="shared" si="1"/>
        <v>16640</v>
      </c>
      <c r="F51" s="2">
        <f t="shared" si="2"/>
        <v>4.6222222222222218</v>
      </c>
      <c r="G51">
        <v>1200</v>
      </c>
      <c r="H51">
        <v>1200</v>
      </c>
      <c r="I51" s="2">
        <f t="shared" si="3"/>
        <v>2400</v>
      </c>
      <c r="J51" s="2">
        <f t="shared" si="4"/>
        <v>19200</v>
      </c>
      <c r="K51" s="2">
        <f t="shared" si="5"/>
        <v>5.333333333333333</v>
      </c>
      <c r="L51">
        <v>880</v>
      </c>
      <c r="M51">
        <v>880</v>
      </c>
      <c r="N51" s="2">
        <f t="shared" si="6"/>
        <v>1760</v>
      </c>
      <c r="O51" s="2">
        <f t="shared" si="7"/>
        <v>14080</v>
      </c>
      <c r="P51" s="2">
        <f t="shared" si="8"/>
        <v>3.911111111111111</v>
      </c>
      <c r="Q51">
        <v>1280</v>
      </c>
      <c r="R51">
        <v>1280</v>
      </c>
      <c r="S51" s="2">
        <f t="shared" si="9"/>
        <v>2560</v>
      </c>
      <c r="T51" s="2">
        <f t="shared" si="10"/>
        <v>20480</v>
      </c>
      <c r="U51" s="2">
        <f t="shared" si="11"/>
        <v>5.6888888888888891</v>
      </c>
      <c r="V51">
        <v>1120</v>
      </c>
      <c r="W51">
        <v>1120</v>
      </c>
      <c r="X51" s="2">
        <f t="shared" si="12"/>
        <v>2240</v>
      </c>
      <c r="Y51" s="2">
        <f t="shared" si="13"/>
        <v>17920</v>
      </c>
      <c r="Z51" s="2">
        <f t="shared" si="14"/>
        <v>4.9777777777777779</v>
      </c>
      <c r="AA51">
        <v>1040</v>
      </c>
      <c r="AB51">
        <v>1040</v>
      </c>
      <c r="AC51" s="2">
        <f t="shared" si="15"/>
        <v>2080</v>
      </c>
      <c r="AD51" s="2">
        <f t="shared" si="16"/>
        <v>16640</v>
      </c>
      <c r="AE51" s="2">
        <f t="shared" si="17"/>
        <v>4.6222222222222218</v>
      </c>
      <c r="AF51">
        <v>1040</v>
      </c>
      <c r="AG51">
        <v>1040</v>
      </c>
      <c r="AH51" s="2">
        <f t="shared" si="18"/>
        <v>2080</v>
      </c>
      <c r="AI51" s="2">
        <f t="shared" si="19"/>
        <v>16640</v>
      </c>
      <c r="AJ51" s="2">
        <f t="shared" si="20"/>
        <v>4.6222222222222218</v>
      </c>
      <c r="AK51">
        <v>1280</v>
      </c>
      <c r="AL51">
        <v>1280</v>
      </c>
      <c r="AM51" s="2">
        <f t="shared" si="21"/>
        <v>2560</v>
      </c>
      <c r="AN51" s="2">
        <f t="shared" si="22"/>
        <v>20480</v>
      </c>
      <c r="AO51" s="2">
        <f t="shared" si="23"/>
        <v>5.6888888888888891</v>
      </c>
      <c r="AP51">
        <v>1280</v>
      </c>
      <c r="AQ51">
        <v>1280</v>
      </c>
      <c r="AR51" s="2">
        <f t="shared" si="24"/>
        <v>2560</v>
      </c>
      <c r="AS51" s="2">
        <f t="shared" si="25"/>
        <v>20480</v>
      </c>
      <c r="AT51" s="2">
        <f t="shared" si="26"/>
        <v>5.6888888888888891</v>
      </c>
      <c r="AU51">
        <v>1120</v>
      </c>
      <c r="AV51">
        <v>1120</v>
      </c>
      <c r="AW51" s="2">
        <f t="shared" si="27"/>
        <v>2240</v>
      </c>
      <c r="AX51" s="2">
        <f t="shared" si="28"/>
        <v>17920</v>
      </c>
      <c r="AY51" s="2">
        <f t="shared" si="29"/>
        <v>4.9777777777777779</v>
      </c>
    </row>
    <row r="52" spans="1:51" x14ac:dyDescent="0.3">
      <c r="A52" s="2" t="s">
        <v>56</v>
      </c>
      <c r="B52">
        <v>960</v>
      </c>
      <c r="C52">
        <v>960</v>
      </c>
      <c r="D52" s="2">
        <f t="shared" si="0"/>
        <v>1920</v>
      </c>
      <c r="E52" s="2">
        <f t="shared" si="1"/>
        <v>15360</v>
      </c>
      <c r="F52" s="2">
        <f t="shared" si="2"/>
        <v>4.2666666666666666</v>
      </c>
      <c r="G52">
        <v>800</v>
      </c>
      <c r="H52">
        <v>800</v>
      </c>
      <c r="I52" s="2">
        <f t="shared" si="3"/>
        <v>1600</v>
      </c>
      <c r="J52" s="2">
        <f t="shared" si="4"/>
        <v>12800</v>
      </c>
      <c r="K52" s="2">
        <f t="shared" si="5"/>
        <v>3.5555555555555554</v>
      </c>
      <c r="L52">
        <v>960</v>
      </c>
      <c r="M52">
        <v>960</v>
      </c>
      <c r="N52" s="2">
        <f t="shared" si="6"/>
        <v>1920</v>
      </c>
      <c r="O52" s="2">
        <f t="shared" si="7"/>
        <v>15360</v>
      </c>
      <c r="P52" s="2">
        <f t="shared" si="8"/>
        <v>4.2666666666666666</v>
      </c>
      <c r="Q52">
        <v>1040</v>
      </c>
      <c r="R52">
        <v>1040</v>
      </c>
      <c r="S52" s="2">
        <f t="shared" si="9"/>
        <v>2080</v>
      </c>
      <c r="T52" s="2">
        <f t="shared" si="10"/>
        <v>16640</v>
      </c>
      <c r="U52" s="2">
        <f t="shared" si="11"/>
        <v>4.6222222222222218</v>
      </c>
      <c r="V52">
        <v>1040</v>
      </c>
      <c r="W52">
        <v>1040</v>
      </c>
      <c r="X52" s="2">
        <f t="shared" si="12"/>
        <v>2080</v>
      </c>
      <c r="Y52" s="2">
        <f t="shared" si="13"/>
        <v>16640</v>
      </c>
      <c r="Z52" s="2">
        <f t="shared" si="14"/>
        <v>4.6222222222222218</v>
      </c>
      <c r="AA52">
        <v>1120</v>
      </c>
      <c r="AB52">
        <v>1120</v>
      </c>
      <c r="AC52" s="2">
        <f t="shared" si="15"/>
        <v>2240</v>
      </c>
      <c r="AD52" s="2">
        <f t="shared" si="16"/>
        <v>17920</v>
      </c>
      <c r="AE52" s="2">
        <f t="shared" si="17"/>
        <v>4.9777777777777779</v>
      </c>
      <c r="AF52">
        <v>880</v>
      </c>
      <c r="AG52">
        <v>880</v>
      </c>
      <c r="AH52" s="2">
        <f t="shared" si="18"/>
        <v>1760</v>
      </c>
      <c r="AI52" s="2">
        <f t="shared" si="19"/>
        <v>14080</v>
      </c>
      <c r="AJ52" s="2">
        <f t="shared" si="20"/>
        <v>3.911111111111111</v>
      </c>
      <c r="AK52">
        <v>960</v>
      </c>
      <c r="AL52">
        <v>960</v>
      </c>
      <c r="AM52" s="2">
        <f t="shared" si="21"/>
        <v>1920</v>
      </c>
      <c r="AN52" s="2">
        <f t="shared" si="22"/>
        <v>15360</v>
      </c>
      <c r="AO52" s="2">
        <f t="shared" si="23"/>
        <v>4.2666666666666666</v>
      </c>
      <c r="AP52">
        <v>880</v>
      </c>
      <c r="AQ52">
        <v>880</v>
      </c>
      <c r="AR52" s="2">
        <f t="shared" si="24"/>
        <v>1760</v>
      </c>
      <c r="AS52" s="2">
        <f t="shared" si="25"/>
        <v>14080</v>
      </c>
      <c r="AT52" s="2">
        <f t="shared" si="26"/>
        <v>3.911111111111111</v>
      </c>
      <c r="AU52">
        <v>1120</v>
      </c>
      <c r="AV52">
        <v>1120</v>
      </c>
      <c r="AW52" s="2">
        <f t="shared" si="27"/>
        <v>2240</v>
      </c>
      <c r="AX52" s="2">
        <f t="shared" si="28"/>
        <v>17920</v>
      </c>
      <c r="AY52" s="2">
        <f t="shared" si="29"/>
        <v>4.9777777777777779</v>
      </c>
    </row>
    <row r="53" spans="1:51" x14ac:dyDescent="0.3">
      <c r="A53" s="2" t="s">
        <v>57</v>
      </c>
      <c r="B53">
        <v>1120</v>
      </c>
      <c r="C53">
        <v>1120</v>
      </c>
      <c r="D53" s="2">
        <f t="shared" si="0"/>
        <v>2240</v>
      </c>
      <c r="E53" s="2">
        <f t="shared" si="1"/>
        <v>17920</v>
      </c>
      <c r="F53" s="2">
        <f t="shared" si="2"/>
        <v>4.9777777777777779</v>
      </c>
      <c r="G53">
        <v>1280</v>
      </c>
      <c r="H53">
        <v>1280</v>
      </c>
      <c r="I53" s="2">
        <f t="shared" si="3"/>
        <v>2560</v>
      </c>
      <c r="J53" s="2">
        <f t="shared" si="4"/>
        <v>20480</v>
      </c>
      <c r="K53" s="2">
        <f t="shared" si="5"/>
        <v>5.6888888888888891</v>
      </c>
      <c r="L53">
        <v>960</v>
      </c>
      <c r="M53">
        <v>960</v>
      </c>
      <c r="N53" s="2">
        <f t="shared" si="6"/>
        <v>1920</v>
      </c>
      <c r="O53" s="2">
        <f t="shared" si="7"/>
        <v>15360</v>
      </c>
      <c r="P53" s="2">
        <f t="shared" si="8"/>
        <v>4.2666666666666666</v>
      </c>
      <c r="Q53">
        <v>1040</v>
      </c>
      <c r="R53">
        <v>1040</v>
      </c>
      <c r="S53" s="2">
        <f t="shared" si="9"/>
        <v>2080</v>
      </c>
      <c r="T53" s="2">
        <f t="shared" si="10"/>
        <v>16640</v>
      </c>
      <c r="U53" s="2">
        <f t="shared" si="11"/>
        <v>4.6222222222222218</v>
      </c>
      <c r="V53">
        <v>1200</v>
      </c>
      <c r="W53">
        <v>1200</v>
      </c>
      <c r="X53" s="2">
        <f t="shared" si="12"/>
        <v>2400</v>
      </c>
      <c r="Y53" s="2">
        <f t="shared" si="13"/>
        <v>19200</v>
      </c>
      <c r="Z53" s="2">
        <f t="shared" si="14"/>
        <v>5.333333333333333</v>
      </c>
      <c r="AA53">
        <v>1200</v>
      </c>
      <c r="AB53">
        <v>1200</v>
      </c>
      <c r="AC53" s="2">
        <f t="shared" si="15"/>
        <v>2400</v>
      </c>
      <c r="AD53" s="2">
        <f t="shared" si="16"/>
        <v>19200</v>
      </c>
      <c r="AE53" s="2">
        <f t="shared" si="17"/>
        <v>5.333333333333333</v>
      </c>
      <c r="AF53">
        <v>880</v>
      </c>
      <c r="AG53">
        <v>880</v>
      </c>
      <c r="AH53" s="2">
        <f t="shared" si="18"/>
        <v>1760</v>
      </c>
      <c r="AI53" s="2">
        <f t="shared" si="19"/>
        <v>14080</v>
      </c>
      <c r="AJ53" s="2">
        <f t="shared" si="20"/>
        <v>3.911111111111111</v>
      </c>
      <c r="AK53">
        <v>800</v>
      </c>
      <c r="AL53">
        <v>800</v>
      </c>
      <c r="AM53" s="2">
        <f t="shared" si="21"/>
        <v>1600</v>
      </c>
      <c r="AN53" s="2">
        <f t="shared" si="22"/>
        <v>12800</v>
      </c>
      <c r="AO53" s="2">
        <f t="shared" si="23"/>
        <v>3.5555555555555554</v>
      </c>
      <c r="AP53">
        <v>1200</v>
      </c>
      <c r="AQ53">
        <v>1200</v>
      </c>
      <c r="AR53" s="2">
        <f t="shared" si="24"/>
        <v>2400</v>
      </c>
      <c r="AS53" s="2">
        <f t="shared" si="25"/>
        <v>19200</v>
      </c>
      <c r="AT53" s="2">
        <f t="shared" si="26"/>
        <v>5.333333333333333</v>
      </c>
      <c r="AU53">
        <v>1120</v>
      </c>
      <c r="AV53">
        <v>1120</v>
      </c>
      <c r="AW53" s="2">
        <f t="shared" si="27"/>
        <v>2240</v>
      </c>
      <c r="AX53" s="2">
        <f t="shared" si="28"/>
        <v>17920</v>
      </c>
      <c r="AY53" s="2">
        <f t="shared" si="29"/>
        <v>4.9777777777777779</v>
      </c>
    </row>
    <row r="54" spans="1:51" x14ac:dyDescent="0.3">
      <c r="A54" s="2" t="s">
        <v>58</v>
      </c>
      <c r="B54">
        <v>880</v>
      </c>
      <c r="C54">
        <v>880</v>
      </c>
      <c r="D54" s="2">
        <f t="shared" si="0"/>
        <v>1760</v>
      </c>
      <c r="E54" s="2">
        <f t="shared" si="1"/>
        <v>14080</v>
      </c>
      <c r="F54" s="2">
        <f t="shared" si="2"/>
        <v>3.911111111111111</v>
      </c>
      <c r="G54">
        <v>960</v>
      </c>
      <c r="H54">
        <v>960</v>
      </c>
      <c r="I54" s="2">
        <f t="shared" si="3"/>
        <v>1920</v>
      </c>
      <c r="J54" s="2">
        <f t="shared" si="4"/>
        <v>15360</v>
      </c>
      <c r="K54" s="2">
        <f t="shared" si="5"/>
        <v>4.2666666666666666</v>
      </c>
      <c r="L54">
        <v>1040</v>
      </c>
      <c r="M54">
        <v>1040</v>
      </c>
      <c r="N54" s="2">
        <f t="shared" si="6"/>
        <v>2080</v>
      </c>
      <c r="O54" s="2">
        <f t="shared" si="7"/>
        <v>16640</v>
      </c>
      <c r="P54" s="2">
        <f t="shared" si="8"/>
        <v>4.6222222222222218</v>
      </c>
      <c r="Q54">
        <v>1120</v>
      </c>
      <c r="R54">
        <v>1120</v>
      </c>
      <c r="S54" s="2">
        <f t="shared" si="9"/>
        <v>2240</v>
      </c>
      <c r="T54" s="2">
        <f t="shared" si="10"/>
        <v>17920</v>
      </c>
      <c r="U54" s="2">
        <f t="shared" si="11"/>
        <v>4.9777777777777779</v>
      </c>
      <c r="V54">
        <v>960</v>
      </c>
      <c r="W54">
        <v>960</v>
      </c>
      <c r="X54" s="2">
        <f t="shared" si="12"/>
        <v>1920</v>
      </c>
      <c r="Y54" s="2">
        <f t="shared" si="13"/>
        <v>15360</v>
      </c>
      <c r="Z54" s="2">
        <f t="shared" si="14"/>
        <v>4.2666666666666666</v>
      </c>
      <c r="AA54">
        <v>1120</v>
      </c>
      <c r="AB54">
        <v>1120</v>
      </c>
      <c r="AC54" s="2">
        <f t="shared" si="15"/>
        <v>2240</v>
      </c>
      <c r="AD54" s="2">
        <f t="shared" si="16"/>
        <v>17920</v>
      </c>
      <c r="AE54" s="2">
        <f t="shared" si="17"/>
        <v>4.9777777777777779</v>
      </c>
      <c r="AF54">
        <v>1120</v>
      </c>
      <c r="AG54">
        <v>1120</v>
      </c>
      <c r="AH54" s="2">
        <f t="shared" si="18"/>
        <v>2240</v>
      </c>
      <c r="AI54" s="2">
        <f t="shared" si="19"/>
        <v>17920</v>
      </c>
      <c r="AJ54" s="2">
        <f t="shared" si="20"/>
        <v>4.9777777777777779</v>
      </c>
      <c r="AK54">
        <v>1120</v>
      </c>
      <c r="AL54">
        <v>1120</v>
      </c>
      <c r="AM54" s="2">
        <f t="shared" si="21"/>
        <v>2240</v>
      </c>
      <c r="AN54" s="2">
        <f t="shared" si="22"/>
        <v>17920</v>
      </c>
      <c r="AO54" s="2">
        <f t="shared" si="23"/>
        <v>4.9777777777777779</v>
      </c>
      <c r="AP54">
        <v>1200</v>
      </c>
      <c r="AQ54">
        <v>1200</v>
      </c>
      <c r="AR54" s="2">
        <f t="shared" si="24"/>
        <v>2400</v>
      </c>
      <c r="AS54" s="2">
        <f t="shared" si="25"/>
        <v>19200</v>
      </c>
      <c r="AT54" s="2">
        <f t="shared" si="26"/>
        <v>5.333333333333333</v>
      </c>
      <c r="AU54">
        <v>1120</v>
      </c>
      <c r="AV54">
        <v>1120</v>
      </c>
      <c r="AW54" s="2">
        <f t="shared" si="27"/>
        <v>2240</v>
      </c>
      <c r="AX54" s="2">
        <f t="shared" si="28"/>
        <v>17920</v>
      </c>
      <c r="AY54" s="2">
        <f t="shared" si="29"/>
        <v>4.9777777777777779</v>
      </c>
    </row>
    <row r="55" spans="1:51" x14ac:dyDescent="0.3">
      <c r="A55" s="2" t="s">
        <v>59</v>
      </c>
      <c r="B55">
        <v>1040</v>
      </c>
      <c r="C55">
        <v>1040</v>
      </c>
      <c r="D55" s="2">
        <f t="shared" si="0"/>
        <v>2080</v>
      </c>
      <c r="E55" s="2">
        <f t="shared" si="1"/>
        <v>16640</v>
      </c>
      <c r="F55" s="2">
        <f t="shared" si="2"/>
        <v>4.6222222222222218</v>
      </c>
      <c r="G55">
        <v>1200</v>
      </c>
      <c r="H55">
        <v>1200</v>
      </c>
      <c r="I55" s="2">
        <f t="shared" si="3"/>
        <v>2400</v>
      </c>
      <c r="J55" s="2">
        <f t="shared" si="4"/>
        <v>19200</v>
      </c>
      <c r="K55" s="2">
        <f t="shared" si="5"/>
        <v>5.333333333333333</v>
      </c>
      <c r="L55">
        <v>880</v>
      </c>
      <c r="M55">
        <v>880</v>
      </c>
      <c r="N55" s="2">
        <f t="shared" si="6"/>
        <v>1760</v>
      </c>
      <c r="O55" s="2">
        <f t="shared" si="7"/>
        <v>14080</v>
      </c>
      <c r="P55" s="2">
        <f t="shared" si="8"/>
        <v>3.911111111111111</v>
      </c>
      <c r="Q55">
        <v>1120</v>
      </c>
      <c r="R55">
        <v>1120</v>
      </c>
      <c r="S55" s="2">
        <f t="shared" si="9"/>
        <v>2240</v>
      </c>
      <c r="T55" s="2">
        <f t="shared" si="10"/>
        <v>17920</v>
      </c>
      <c r="U55" s="2">
        <f t="shared" si="11"/>
        <v>4.9777777777777779</v>
      </c>
      <c r="V55">
        <v>1120</v>
      </c>
      <c r="W55">
        <v>1120</v>
      </c>
      <c r="X55" s="2">
        <f t="shared" si="12"/>
        <v>2240</v>
      </c>
      <c r="Y55" s="2">
        <f t="shared" si="13"/>
        <v>17920</v>
      </c>
      <c r="Z55" s="2">
        <f t="shared" si="14"/>
        <v>4.9777777777777779</v>
      </c>
      <c r="AA55">
        <v>960</v>
      </c>
      <c r="AB55">
        <v>960</v>
      </c>
      <c r="AC55" s="2">
        <f t="shared" si="15"/>
        <v>1920</v>
      </c>
      <c r="AD55" s="2">
        <f t="shared" si="16"/>
        <v>15360</v>
      </c>
      <c r="AE55" s="2">
        <f t="shared" si="17"/>
        <v>4.2666666666666666</v>
      </c>
      <c r="AF55">
        <v>1040</v>
      </c>
      <c r="AG55">
        <v>1040</v>
      </c>
      <c r="AH55" s="2">
        <f t="shared" si="18"/>
        <v>2080</v>
      </c>
      <c r="AI55" s="2">
        <f t="shared" si="19"/>
        <v>16640</v>
      </c>
      <c r="AJ55" s="2">
        <f t="shared" si="20"/>
        <v>4.6222222222222218</v>
      </c>
      <c r="AK55">
        <v>1040</v>
      </c>
      <c r="AL55">
        <v>1040</v>
      </c>
      <c r="AM55" s="2">
        <f t="shared" si="21"/>
        <v>2080</v>
      </c>
      <c r="AN55" s="2">
        <f t="shared" si="22"/>
        <v>16640</v>
      </c>
      <c r="AO55" s="2">
        <f t="shared" si="23"/>
        <v>4.6222222222222218</v>
      </c>
      <c r="AP55">
        <v>1120</v>
      </c>
      <c r="AQ55">
        <v>1120</v>
      </c>
      <c r="AR55" s="2">
        <f t="shared" si="24"/>
        <v>2240</v>
      </c>
      <c r="AS55" s="2">
        <f t="shared" si="25"/>
        <v>17920</v>
      </c>
      <c r="AT55" s="2">
        <f t="shared" si="26"/>
        <v>4.9777777777777779</v>
      </c>
      <c r="AU55">
        <v>1120</v>
      </c>
      <c r="AV55">
        <v>1120</v>
      </c>
      <c r="AW55" s="2">
        <f t="shared" si="27"/>
        <v>2240</v>
      </c>
      <c r="AX55" s="2">
        <f t="shared" si="28"/>
        <v>17920</v>
      </c>
      <c r="AY55" s="2">
        <f t="shared" si="29"/>
        <v>4.9777777777777779</v>
      </c>
    </row>
    <row r="56" spans="1:51" x14ac:dyDescent="0.3">
      <c r="A56" s="2" t="s">
        <v>60</v>
      </c>
      <c r="B56">
        <v>960</v>
      </c>
      <c r="C56">
        <v>960</v>
      </c>
      <c r="D56" s="2">
        <f t="shared" si="0"/>
        <v>1920</v>
      </c>
      <c r="E56" s="2">
        <f t="shared" si="1"/>
        <v>15360</v>
      </c>
      <c r="F56" s="2">
        <f t="shared" si="2"/>
        <v>4.2666666666666666</v>
      </c>
      <c r="G56">
        <v>960</v>
      </c>
      <c r="H56">
        <v>960</v>
      </c>
      <c r="I56" s="2">
        <f t="shared" si="3"/>
        <v>1920</v>
      </c>
      <c r="J56" s="2">
        <f t="shared" si="4"/>
        <v>15360</v>
      </c>
      <c r="K56" s="2">
        <f t="shared" si="5"/>
        <v>4.2666666666666666</v>
      </c>
      <c r="L56">
        <v>1120</v>
      </c>
      <c r="M56">
        <v>1120</v>
      </c>
      <c r="N56" s="2">
        <f t="shared" si="6"/>
        <v>2240</v>
      </c>
      <c r="O56" s="2">
        <f t="shared" si="7"/>
        <v>17920</v>
      </c>
      <c r="P56" s="2">
        <f t="shared" si="8"/>
        <v>4.9777777777777779</v>
      </c>
      <c r="Q56">
        <v>960</v>
      </c>
      <c r="R56">
        <v>960</v>
      </c>
      <c r="S56" s="2">
        <f t="shared" si="9"/>
        <v>1920</v>
      </c>
      <c r="T56" s="2">
        <f t="shared" si="10"/>
        <v>15360</v>
      </c>
      <c r="U56" s="2">
        <f t="shared" si="11"/>
        <v>4.2666666666666666</v>
      </c>
      <c r="V56">
        <v>1120</v>
      </c>
      <c r="W56">
        <v>1120</v>
      </c>
      <c r="X56" s="2">
        <f t="shared" si="12"/>
        <v>2240</v>
      </c>
      <c r="Y56" s="2">
        <f t="shared" si="13"/>
        <v>17920</v>
      </c>
      <c r="Z56" s="2">
        <f t="shared" si="14"/>
        <v>4.9777777777777779</v>
      </c>
      <c r="AA56">
        <v>960</v>
      </c>
      <c r="AB56">
        <v>960</v>
      </c>
      <c r="AC56" s="2">
        <f t="shared" si="15"/>
        <v>1920</v>
      </c>
      <c r="AD56" s="2">
        <f t="shared" si="16"/>
        <v>15360</v>
      </c>
      <c r="AE56" s="2">
        <f t="shared" si="17"/>
        <v>4.2666666666666666</v>
      </c>
      <c r="AF56">
        <v>1040</v>
      </c>
      <c r="AG56">
        <v>1040</v>
      </c>
      <c r="AH56" s="2">
        <f t="shared" si="18"/>
        <v>2080</v>
      </c>
      <c r="AI56" s="2">
        <f t="shared" si="19"/>
        <v>16640</v>
      </c>
      <c r="AJ56" s="2">
        <f t="shared" si="20"/>
        <v>4.6222222222222218</v>
      </c>
      <c r="AK56">
        <v>1120</v>
      </c>
      <c r="AL56">
        <v>1120</v>
      </c>
      <c r="AM56" s="2">
        <f t="shared" si="21"/>
        <v>2240</v>
      </c>
      <c r="AN56" s="2">
        <f t="shared" si="22"/>
        <v>17920</v>
      </c>
      <c r="AO56" s="2">
        <f t="shared" si="23"/>
        <v>4.9777777777777779</v>
      </c>
      <c r="AP56">
        <v>960</v>
      </c>
      <c r="AQ56">
        <v>960</v>
      </c>
      <c r="AR56" s="2">
        <f t="shared" si="24"/>
        <v>1920</v>
      </c>
      <c r="AS56" s="2">
        <f t="shared" si="25"/>
        <v>15360</v>
      </c>
      <c r="AT56" s="2">
        <f t="shared" si="26"/>
        <v>4.2666666666666666</v>
      </c>
      <c r="AU56">
        <v>1280</v>
      </c>
      <c r="AV56">
        <v>1280</v>
      </c>
      <c r="AW56" s="2">
        <f t="shared" si="27"/>
        <v>2560</v>
      </c>
      <c r="AX56" s="2">
        <f t="shared" si="28"/>
        <v>20480</v>
      </c>
      <c r="AY56" s="2">
        <f t="shared" si="29"/>
        <v>5.6888888888888891</v>
      </c>
    </row>
    <row r="57" spans="1:51" x14ac:dyDescent="0.3">
      <c r="A57" s="2" t="s">
        <v>61</v>
      </c>
      <c r="B57">
        <v>1040</v>
      </c>
      <c r="C57">
        <v>1040</v>
      </c>
      <c r="D57" s="2">
        <f t="shared" si="0"/>
        <v>2080</v>
      </c>
      <c r="E57" s="2">
        <f t="shared" si="1"/>
        <v>16640</v>
      </c>
      <c r="F57" s="2">
        <f t="shared" si="2"/>
        <v>4.6222222222222218</v>
      </c>
      <c r="G57">
        <v>1040</v>
      </c>
      <c r="H57">
        <v>1040</v>
      </c>
      <c r="I57" s="2">
        <f t="shared" si="3"/>
        <v>2080</v>
      </c>
      <c r="J57" s="2">
        <f t="shared" si="4"/>
        <v>16640</v>
      </c>
      <c r="K57" s="2">
        <f t="shared" si="5"/>
        <v>4.6222222222222218</v>
      </c>
      <c r="L57">
        <v>1120</v>
      </c>
      <c r="M57">
        <v>1120</v>
      </c>
      <c r="N57" s="2">
        <f t="shared" si="6"/>
        <v>2240</v>
      </c>
      <c r="O57" s="2">
        <f t="shared" si="7"/>
        <v>17920</v>
      </c>
      <c r="P57" s="2">
        <f t="shared" si="8"/>
        <v>4.9777777777777779</v>
      </c>
      <c r="Q57">
        <v>960</v>
      </c>
      <c r="R57">
        <v>960</v>
      </c>
      <c r="S57" s="2">
        <f t="shared" si="9"/>
        <v>1920</v>
      </c>
      <c r="T57" s="2">
        <f t="shared" si="10"/>
        <v>15360</v>
      </c>
      <c r="U57" s="2">
        <f t="shared" si="11"/>
        <v>4.2666666666666666</v>
      </c>
      <c r="V57">
        <v>1120</v>
      </c>
      <c r="W57">
        <v>1120</v>
      </c>
      <c r="X57" s="2">
        <f t="shared" si="12"/>
        <v>2240</v>
      </c>
      <c r="Y57" s="2">
        <f t="shared" si="13"/>
        <v>17920</v>
      </c>
      <c r="Z57" s="2">
        <f t="shared" si="14"/>
        <v>4.9777777777777779</v>
      </c>
      <c r="AA57">
        <v>960</v>
      </c>
      <c r="AB57">
        <v>960</v>
      </c>
      <c r="AC57" s="2">
        <f t="shared" si="15"/>
        <v>1920</v>
      </c>
      <c r="AD57" s="2">
        <f t="shared" si="16"/>
        <v>15360</v>
      </c>
      <c r="AE57" s="2">
        <f t="shared" si="17"/>
        <v>4.2666666666666666</v>
      </c>
      <c r="AF57">
        <v>960</v>
      </c>
      <c r="AG57">
        <v>960</v>
      </c>
      <c r="AH57" s="2">
        <f t="shared" si="18"/>
        <v>1920</v>
      </c>
      <c r="AI57" s="2">
        <f t="shared" si="19"/>
        <v>15360</v>
      </c>
      <c r="AJ57" s="2">
        <f t="shared" si="20"/>
        <v>4.2666666666666666</v>
      </c>
      <c r="AK57">
        <v>1200</v>
      </c>
      <c r="AL57">
        <v>1200</v>
      </c>
      <c r="AM57" s="2">
        <f t="shared" si="21"/>
        <v>2400</v>
      </c>
      <c r="AN57" s="2">
        <f t="shared" si="22"/>
        <v>19200</v>
      </c>
      <c r="AO57" s="2">
        <f t="shared" si="23"/>
        <v>5.333333333333333</v>
      </c>
      <c r="AP57">
        <v>1120</v>
      </c>
      <c r="AQ57">
        <v>1120</v>
      </c>
      <c r="AR57" s="2">
        <f t="shared" si="24"/>
        <v>2240</v>
      </c>
      <c r="AS57" s="2">
        <f t="shared" si="25"/>
        <v>17920</v>
      </c>
      <c r="AT57" s="2">
        <f t="shared" si="26"/>
        <v>4.9777777777777779</v>
      </c>
      <c r="AU57">
        <v>1120</v>
      </c>
      <c r="AV57">
        <v>1120</v>
      </c>
      <c r="AW57" s="2">
        <f t="shared" si="27"/>
        <v>2240</v>
      </c>
      <c r="AX57" s="2">
        <f t="shared" si="28"/>
        <v>17920</v>
      </c>
      <c r="AY57" s="2">
        <f t="shared" si="29"/>
        <v>4.9777777777777779</v>
      </c>
    </row>
    <row r="58" spans="1:51" x14ac:dyDescent="0.3">
      <c r="A58" s="2" t="s">
        <v>62</v>
      </c>
      <c r="B58">
        <v>1040</v>
      </c>
      <c r="C58">
        <v>1040</v>
      </c>
      <c r="D58" s="2">
        <f t="shared" si="0"/>
        <v>2080</v>
      </c>
      <c r="E58" s="2">
        <f t="shared" si="1"/>
        <v>16640</v>
      </c>
      <c r="F58" s="2">
        <f t="shared" si="2"/>
        <v>4.6222222222222218</v>
      </c>
      <c r="G58">
        <v>880</v>
      </c>
      <c r="H58">
        <v>880</v>
      </c>
      <c r="I58" s="2">
        <f t="shared" si="3"/>
        <v>1760</v>
      </c>
      <c r="J58" s="2">
        <f t="shared" si="4"/>
        <v>14080</v>
      </c>
      <c r="K58" s="2">
        <f t="shared" si="5"/>
        <v>3.911111111111111</v>
      </c>
      <c r="L58">
        <v>1120</v>
      </c>
      <c r="M58">
        <v>1120</v>
      </c>
      <c r="N58" s="2">
        <f t="shared" si="6"/>
        <v>2240</v>
      </c>
      <c r="O58" s="2">
        <f t="shared" si="7"/>
        <v>17920</v>
      </c>
      <c r="P58" s="2">
        <f t="shared" si="8"/>
        <v>4.9777777777777779</v>
      </c>
      <c r="Q58">
        <v>960</v>
      </c>
      <c r="R58">
        <v>960</v>
      </c>
      <c r="S58" s="2">
        <f t="shared" si="9"/>
        <v>1920</v>
      </c>
      <c r="T58" s="2">
        <f t="shared" si="10"/>
        <v>15360</v>
      </c>
      <c r="U58" s="2">
        <f t="shared" si="11"/>
        <v>4.2666666666666666</v>
      </c>
      <c r="V58">
        <v>960</v>
      </c>
      <c r="W58">
        <v>960</v>
      </c>
      <c r="X58" s="2">
        <f t="shared" si="12"/>
        <v>1920</v>
      </c>
      <c r="Y58" s="2">
        <f t="shared" si="13"/>
        <v>15360</v>
      </c>
      <c r="Z58" s="2">
        <f t="shared" si="14"/>
        <v>4.2666666666666666</v>
      </c>
      <c r="AA58">
        <v>1040</v>
      </c>
      <c r="AB58">
        <v>1040</v>
      </c>
      <c r="AC58" s="2">
        <f t="shared" si="15"/>
        <v>2080</v>
      </c>
      <c r="AD58" s="2">
        <f t="shared" si="16"/>
        <v>16640</v>
      </c>
      <c r="AE58" s="2">
        <f t="shared" si="17"/>
        <v>4.6222222222222218</v>
      </c>
      <c r="AF58">
        <v>1040</v>
      </c>
      <c r="AG58">
        <v>1040</v>
      </c>
      <c r="AH58" s="2">
        <f t="shared" si="18"/>
        <v>2080</v>
      </c>
      <c r="AI58" s="2">
        <f t="shared" si="19"/>
        <v>16640</v>
      </c>
      <c r="AJ58" s="2">
        <f t="shared" si="20"/>
        <v>4.6222222222222218</v>
      </c>
      <c r="AK58">
        <v>880</v>
      </c>
      <c r="AL58">
        <v>880</v>
      </c>
      <c r="AM58" s="2">
        <f t="shared" si="21"/>
        <v>1760</v>
      </c>
      <c r="AN58" s="2">
        <f t="shared" si="22"/>
        <v>14080</v>
      </c>
      <c r="AO58" s="2">
        <f t="shared" si="23"/>
        <v>3.911111111111111</v>
      </c>
      <c r="AP58">
        <v>960</v>
      </c>
      <c r="AQ58">
        <v>960</v>
      </c>
      <c r="AR58" s="2">
        <f t="shared" si="24"/>
        <v>1920</v>
      </c>
      <c r="AS58" s="2">
        <f t="shared" si="25"/>
        <v>15360</v>
      </c>
      <c r="AT58" s="2">
        <f t="shared" si="26"/>
        <v>4.2666666666666666</v>
      </c>
      <c r="AU58">
        <v>960</v>
      </c>
      <c r="AV58">
        <v>960</v>
      </c>
      <c r="AW58" s="2">
        <f t="shared" si="27"/>
        <v>1920</v>
      </c>
      <c r="AX58" s="2">
        <f t="shared" si="28"/>
        <v>15360</v>
      </c>
      <c r="AY58" s="2">
        <f t="shared" si="29"/>
        <v>4.2666666666666666</v>
      </c>
    </row>
    <row r="59" spans="1:51" x14ac:dyDescent="0.3">
      <c r="A59" s="2" t="s">
        <v>63</v>
      </c>
      <c r="B59">
        <v>1360</v>
      </c>
      <c r="C59">
        <v>1360</v>
      </c>
      <c r="D59" s="2">
        <f t="shared" si="0"/>
        <v>2720</v>
      </c>
      <c r="E59" s="2">
        <f t="shared" si="1"/>
        <v>21760</v>
      </c>
      <c r="F59" s="2">
        <f t="shared" si="2"/>
        <v>6.0444444444444443</v>
      </c>
      <c r="G59">
        <v>960</v>
      </c>
      <c r="H59">
        <v>960</v>
      </c>
      <c r="I59" s="2">
        <f t="shared" si="3"/>
        <v>1920</v>
      </c>
      <c r="J59" s="2">
        <f t="shared" si="4"/>
        <v>15360</v>
      </c>
      <c r="K59" s="2">
        <f t="shared" si="5"/>
        <v>4.2666666666666666</v>
      </c>
      <c r="L59">
        <v>1280</v>
      </c>
      <c r="M59">
        <v>1280</v>
      </c>
      <c r="N59" s="2">
        <f t="shared" si="6"/>
        <v>2560</v>
      </c>
      <c r="O59" s="2">
        <f t="shared" si="7"/>
        <v>20480</v>
      </c>
      <c r="P59" s="2">
        <f t="shared" si="8"/>
        <v>5.6888888888888891</v>
      </c>
      <c r="Q59">
        <v>1200</v>
      </c>
      <c r="R59">
        <v>1200</v>
      </c>
      <c r="S59" s="2">
        <f t="shared" si="9"/>
        <v>2400</v>
      </c>
      <c r="T59" s="2">
        <f t="shared" si="10"/>
        <v>19200</v>
      </c>
      <c r="U59" s="2">
        <f t="shared" si="11"/>
        <v>5.333333333333333</v>
      </c>
      <c r="V59">
        <v>1120</v>
      </c>
      <c r="W59">
        <v>1120</v>
      </c>
      <c r="X59" s="2">
        <f t="shared" si="12"/>
        <v>2240</v>
      </c>
      <c r="Y59" s="2">
        <f t="shared" si="13"/>
        <v>17920</v>
      </c>
      <c r="Z59" s="2">
        <f t="shared" si="14"/>
        <v>4.9777777777777779</v>
      </c>
      <c r="AA59">
        <v>960</v>
      </c>
      <c r="AB59">
        <v>960</v>
      </c>
      <c r="AC59" s="2">
        <f t="shared" si="15"/>
        <v>1920</v>
      </c>
      <c r="AD59" s="2">
        <f t="shared" si="16"/>
        <v>15360</v>
      </c>
      <c r="AE59" s="2">
        <f t="shared" si="17"/>
        <v>4.2666666666666666</v>
      </c>
      <c r="AF59">
        <v>1120</v>
      </c>
      <c r="AG59">
        <v>1120</v>
      </c>
      <c r="AH59" s="2">
        <f t="shared" si="18"/>
        <v>2240</v>
      </c>
      <c r="AI59" s="2">
        <f t="shared" si="19"/>
        <v>17920</v>
      </c>
      <c r="AJ59" s="2">
        <f t="shared" si="20"/>
        <v>4.9777777777777779</v>
      </c>
      <c r="AK59">
        <v>1120</v>
      </c>
      <c r="AL59">
        <v>1120</v>
      </c>
      <c r="AM59" s="2">
        <f t="shared" si="21"/>
        <v>2240</v>
      </c>
      <c r="AN59" s="2">
        <f t="shared" si="22"/>
        <v>17920</v>
      </c>
      <c r="AO59" s="2">
        <f t="shared" si="23"/>
        <v>4.9777777777777779</v>
      </c>
      <c r="AP59">
        <v>1200</v>
      </c>
      <c r="AQ59">
        <v>1200</v>
      </c>
      <c r="AR59" s="2">
        <f t="shared" si="24"/>
        <v>2400</v>
      </c>
      <c r="AS59" s="2">
        <f t="shared" si="25"/>
        <v>19200</v>
      </c>
      <c r="AT59" s="2">
        <f t="shared" si="26"/>
        <v>5.333333333333333</v>
      </c>
      <c r="AU59">
        <v>1120</v>
      </c>
      <c r="AV59">
        <v>1120</v>
      </c>
      <c r="AW59" s="2">
        <f t="shared" si="27"/>
        <v>2240</v>
      </c>
      <c r="AX59" s="2">
        <f t="shared" si="28"/>
        <v>17920</v>
      </c>
      <c r="AY59" s="2">
        <f t="shared" si="29"/>
        <v>4.9777777777777779</v>
      </c>
    </row>
    <row r="60" spans="1:51" x14ac:dyDescent="0.3">
      <c r="A60" s="2" t="s">
        <v>64</v>
      </c>
      <c r="B60">
        <v>1360</v>
      </c>
      <c r="C60">
        <v>1360</v>
      </c>
      <c r="D60" s="2">
        <f t="shared" si="0"/>
        <v>2720</v>
      </c>
      <c r="E60" s="2">
        <f t="shared" si="1"/>
        <v>21760</v>
      </c>
      <c r="F60" s="2">
        <f t="shared" si="2"/>
        <v>6.0444444444444443</v>
      </c>
      <c r="G60">
        <v>1040</v>
      </c>
      <c r="H60">
        <v>1040</v>
      </c>
      <c r="I60" s="2">
        <f t="shared" si="3"/>
        <v>2080</v>
      </c>
      <c r="J60" s="2">
        <f t="shared" si="4"/>
        <v>16640</v>
      </c>
      <c r="K60" s="2">
        <f t="shared" si="5"/>
        <v>4.6222222222222218</v>
      </c>
      <c r="L60">
        <v>960</v>
      </c>
      <c r="M60">
        <v>960</v>
      </c>
      <c r="N60" s="2">
        <f t="shared" si="6"/>
        <v>1920</v>
      </c>
      <c r="O60" s="2">
        <f t="shared" si="7"/>
        <v>15360</v>
      </c>
      <c r="P60" s="2">
        <f t="shared" si="8"/>
        <v>4.2666666666666666</v>
      </c>
      <c r="Q60">
        <v>960</v>
      </c>
      <c r="R60">
        <v>960</v>
      </c>
      <c r="S60" s="2">
        <f t="shared" si="9"/>
        <v>1920</v>
      </c>
      <c r="T60" s="2">
        <f t="shared" si="10"/>
        <v>15360</v>
      </c>
      <c r="U60" s="2">
        <f t="shared" si="11"/>
        <v>4.2666666666666666</v>
      </c>
      <c r="V60">
        <v>960</v>
      </c>
      <c r="W60">
        <v>960</v>
      </c>
      <c r="X60" s="2">
        <f t="shared" si="12"/>
        <v>1920</v>
      </c>
      <c r="Y60" s="2">
        <f t="shared" si="13"/>
        <v>15360</v>
      </c>
      <c r="Z60" s="2">
        <f t="shared" si="14"/>
        <v>4.2666666666666666</v>
      </c>
      <c r="AA60">
        <v>960</v>
      </c>
      <c r="AB60">
        <v>960</v>
      </c>
      <c r="AC60" s="2">
        <f t="shared" si="15"/>
        <v>1920</v>
      </c>
      <c r="AD60" s="2">
        <f t="shared" si="16"/>
        <v>15360</v>
      </c>
      <c r="AE60" s="2">
        <f t="shared" si="17"/>
        <v>4.2666666666666666</v>
      </c>
      <c r="AF60">
        <v>960</v>
      </c>
      <c r="AG60">
        <v>960</v>
      </c>
      <c r="AH60" s="2">
        <f t="shared" si="18"/>
        <v>1920</v>
      </c>
      <c r="AI60" s="2">
        <f t="shared" si="19"/>
        <v>15360</v>
      </c>
      <c r="AJ60" s="2">
        <f t="shared" si="20"/>
        <v>4.2666666666666666</v>
      </c>
      <c r="AK60">
        <v>1120</v>
      </c>
      <c r="AL60">
        <v>1120</v>
      </c>
      <c r="AM60" s="2">
        <f t="shared" si="21"/>
        <v>2240</v>
      </c>
      <c r="AN60" s="2">
        <f t="shared" si="22"/>
        <v>17920</v>
      </c>
      <c r="AO60" s="2">
        <f t="shared" si="23"/>
        <v>4.9777777777777779</v>
      </c>
      <c r="AP60">
        <v>1200</v>
      </c>
      <c r="AQ60">
        <v>1200</v>
      </c>
      <c r="AR60" s="2">
        <f t="shared" si="24"/>
        <v>2400</v>
      </c>
      <c r="AS60" s="2">
        <f t="shared" si="25"/>
        <v>19200</v>
      </c>
      <c r="AT60" s="2">
        <f t="shared" si="26"/>
        <v>5.333333333333333</v>
      </c>
      <c r="AU60">
        <v>1040</v>
      </c>
      <c r="AV60">
        <v>1040</v>
      </c>
      <c r="AW60" s="2">
        <f t="shared" si="27"/>
        <v>2080</v>
      </c>
      <c r="AX60" s="2">
        <f t="shared" si="28"/>
        <v>16640</v>
      </c>
      <c r="AY60" s="2">
        <f t="shared" si="29"/>
        <v>4.6222222222222218</v>
      </c>
    </row>
    <row r="61" spans="1:51" x14ac:dyDescent="0.3">
      <c r="A61" s="2" t="s">
        <v>65</v>
      </c>
      <c r="B61">
        <v>960</v>
      </c>
      <c r="C61">
        <v>960</v>
      </c>
      <c r="D61" s="2">
        <f t="shared" si="0"/>
        <v>1920</v>
      </c>
      <c r="E61" s="2">
        <f t="shared" si="1"/>
        <v>15360</v>
      </c>
      <c r="F61" s="2">
        <f t="shared" si="2"/>
        <v>4.2666666666666666</v>
      </c>
      <c r="G61">
        <v>1200</v>
      </c>
      <c r="H61">
        <v>1200</v>
      </c>
      <c r="I61" s="2">
        <f t="shared" si="3"/>
        <v>2400</v>
      </c>
      <c r="J61" s="2">
        <f t="shared" si="4"/>
        <v>19200</v>
      </c>
      <c r="K61" s="2">
        <f t="shared" si="5"/>
        <v>5.333333333333333</v>
      </c>
      <c r="L61">
        <v>960</v>
      </c>
      <c r="M61">
        <v>960</v>
      </c>
      <c r="N61" s="2">
        <f t="shared" si="6"/>
        <v>1920</v>
      </c>
      <c r="O61" s="2">
        <f t="shared" si="7"/>
        <v>15360</v>
      </c>
      <c r="P61" s="2">
        <f t="shared" si="8"/>
        <v>4.2666666666666666</v>
      </c>
      <c r="Q61">
        <v>1120</v>
      </c>
      <c r="R61">
        <v>1120</v>
      </c>
      <c r="S61" s="2">
        <f t="shared" si="9"/>
        <v>2240</v>
      </c>
      <c r="T61" s="2">
        <f t="shared" si="10"/>
        <v>17920</v>
      </c>
      <c r="U61" s="2">
        <f t="shared" si="11"/>
        <v>4.9777777777777779</v>
      </c>
      <c r="V61">
        <v>1120</v>
      </c>
      <c r="W61">
        <v>1120</v>
      </c>
      <c r="X61" s="2">
        <f t="shared" si="12"/>
        <v>2240</v>
      </c>
      <c r="Y61" s="2">
        <f t="shared" si="13"/>
        <v>17920</v>
      </c>
      <c r="Z61" s="2">
        <f t="shared" si="14"/>
        <v>4.9777777777777779</v>
      </c>
      <c r="AA61">
        <v>1040</v>
      </c>
      <c r="AB61">
        <v>1040</v>
      </c>
      <c r="AC61" s="2">
        <f t="shared" si="15"/>
        <v>2080</v>
      </c>
      <c r="AD61" s="2">
        <f t="shared" si="16"/>
        <v>16640</v>
      </c>
      <c r="AE61" s="2">
        <f t="shared" si="17"/>
        <v>4.6222222222222218</v>
      </c>
      <c r="AF61">
        <v>1200</v>
      </c>
      <c r="AG61">
        <v>1200</v>
      </c>
      <c r="AH61" s="2">
        <f t="shared" si="18"/>
        <v>2400</v>
      </c>
      <c r="AI61" s="2">
        <f t="shared" si="19"/>
        <v>19200</v>
      </c>
      <c r="AJ61" s="2">
        <f t="shared" si="20"/>
        <v>5.333333333333333</v>
      </c>
      <c r="AK61">
        <v>1040</v>
      </c>
      <c r="AL61">
        <v>1040</v>
      </c>
      <c r="AM61" s="2">
        <f t="shared" si="21"/>
        <v>2080</v>
      </c>
      <c r="AN61" s="2">
        <f t="shared" si="22"/>
        <v>16640</v>
      </c>
      <c r="AO61" s="2">
        <f t="shared" si="23"/>
        <v>4.6222222222222218</v>
      </c>
      <c r="AP61">
        <v>1120</v>
      </c>
      <c r="AQ61">
        <v>1120</v>
      </c>
      <c r="AR61" s="2">
        <f t="shared" si="24"/>
        <v>2240</v>
      </c>
      <c r="AS61" s="2">
        <f t="shared" si="25"/>
        <v>17920</v>
      </c>
      <c r="AT61" s="2">
        <f t="shared" si="26"/>
        <v>4.9777777777777779</v>
      </c>
      <c r="AU61">
        <v>1040</v>
      </c>
      <c r="AV61">
        <v>1040</v>
      </c>
      <c r="AW61" s="2">
        <f t="shared" si="27"/>
        <v>2080</v>
      </c>
      <c r="AX61" s="2">
        <f t="shared" si="28"/>
        <v>16640</v>
      </c>
      <c r="AY61" s="2">
        <f t="shared" si="29"/>
        <v>4.6222222222222218</v>
      </c>
    </row>
    <row r="62" spans="1:51" x14ac:dyDescent="0.3">
      <c r="A62" s="2" t="s">
        <v>66</v>
      </c>
      <c r="B62">
        <v>1280</v>
      </c>
      <c r="C62">
        <v>1280</v>
      </c>
      <c r="D62" s="2">
        <f t="shared" si="0"/>
        <v>2560</v>
      </c>
      <c r="E62" s="2">
        <f t="shared" si="1"/>
        <v>20480</v>
      </c>
      <c r="F62" s="2">
        <f t="shared" si="2"/>
        <v>5.6888888888888891</v>
      </c>
      <c r="G62">
        <v>1040</v>
      </c>
      <c r="H62">
        <v>1040</v>
      </c>
      <c r="I62" s="2">
        <f t="shared" si="3"/>
        <v>2080</v>
      </c>
      <c r="J62" s="2">
        <f t="shared" si="4"/>
        <v>16640</v>
      </c>
      <c r="K62" s="2">
        <f t="shared" si="5"/>
        <v>4.6222222222222218</v>
      </c>
      <c r="L62">
        <v>1120</v>
      </c>
      <c r="M62">
        <v>1120</v>
      </c>
      <c r="N62" s="2">
        <f t="shared" si="6"/>
        <v>2240</v>
      </c>
      <c r="O62" s="2">
        <f t="shared" si="7"/>
        <v>17920</v>
      </c>
      <c r="P62" s="2">
        <f t="shared" si="8"/>
        <v>4.9777777777777779</v>
      </c>
      <c r="Q62">
        <v>880</v>
      </c>
      <c r="R62">
        <v>880</v>
      </c>
      <c r="S62" s="2">
        <f t="shared" si="9"/>
        <v>1760</v>
      </c>
      <c r="T62" s="2">
        <f t="shared" si="10"/>
        <v>14080</v>
      </c>
      <c r="U62" s="2">
        <f t="shared" si="11"/>
        <v>3.911111111111111</v>
      </c>
      <c r="V62">
        <v>960</v>
      </c>
      <c r="W62">
        <v>960</v>
      </c>
      <c r="X62" s="2">
        <f t="shared" si="12"/>
        <v>1920</v>
      </c>
      <c r="Y62" s="2">
        <f t="shared" si="13"/>
        <v>15360</v>
      </c>
      <c r="Z62" s="2">
        <f t="shared" si="14"/>
        <v>4.2666666666666666</v>
      </c>
      <c r="AA62">
        <v>1040</v>
      </c>
      <c r="AB62">
        <v>1040</v>
      </c>
      <c r="AC62" s="2">
        <f t="shared" si="15"/>
        <v>2080</v>
      </c>
      <c r="AD62" s="2">
        <f t="shared" si="16"/>
        <v>16640</v>
      </c>
      <c r="AE62" s="2">
        <f t="shared" si="17"/>
        <v>4.6222222222222218</v>
      </c>
      <c r="AF62">
        <v>960</v>
      </c>
      <c r="AG62">
        <v>960</v>
      </c>
      <c r="AH62" s="2">
        <f t="shared" si="18"/>
        <v>1920</v>
      </c>
      <c r="AI62" s="2">
        <f t="shared" si="19"/>
        <v>15360</v>
      </c>
      <c r="AJ62" s="2">
        <f t="shared" si="20"/>
        <v>4.2666666666666666</v>
      </c>
      <c r="AK62">
        <v>1040</v>
      </c>
      <c r="AL62">
        <v>1040</v>
      </c>
      <c r="AM62" s="2">
        <f t="shared" si="21"/>
        <v>2080</v>
      </c>
      <c r="AN62" s="2">
        <f t="shared" si="22"/>
        <v>16640</v>
      </c>
      <c r="AO62" s="2">
        <f t="shared" si="23"/>
        <v>4.6222222222222218</v>
      </c>
      <c r="AP62">
        <v>1120</v>
      </c>
      <c r="AQ62">
        <v>1120</v>
      </c>
      <c r="AR62" s="2">
        <f t="shared" si="24"/>
        <v>2240</v>
      </c>
      <c r="AS62" s="2">
        <f t="shared" si="25"/>
        <v>17920</v>
      </c>
      <c r="AT62" s="2">
        <f t="shared" si="26"/>
        <v>4.9777777777777779</v>
      </c>
      <c r="AU62">
        <v>880</v>
      </c>
      <c r="AV62">
        <v>880</v>
      </c>
      <c r="AW62" s="2">
        <f t="shared" si="27"/>
        <v>1760</v>
      </c>
      <c r="AX62" s="2">
        <f t="shared" si="28"/>
        <v>14080</v>
      </c>
      <c r="AY62" s="2">
        <f t="shared" si="29"/>
        <v>3.911111111111111</v>
      </c>
    </row>
    <row r="63" spans="1:51" x14ac:dyDescent="0.3">
      <c r="A63" s="2" t="s">
        <v>67</v>
      </c>
      <c r="B63">
        <v>880</v>
      </c>
      <c r="C63">
        <v>880</v>
      </c>
      <c r="D63" s="2">
        <f t="shared" si="0"/>
        <v>1760</v>
      </c>
      <c r="E63" s="2">
        <f t="shared" si="1"/>
        <v>14080</v>
      </c>
      <c r="F63" s="2">
        <f t="shared" si="2"/>
        <v>3.911111111111111</v>
      </c>
      <c r="G63">
        <v>1200</v>
      </c>
      <c r="H63">
        <v>1200</v>
      </c>
      <c r="I63" s="2">
        <f t="shared" si="3"/>
        <v>2400</v>
      </c>
      <c r="J63" s="2">
        <f t="shared" si="4"/>
        <v>19200</v>
      </c>
      <c r="K63" s="2">
        <f t="shared" si="5"/>
        <v>5.333333333333333</v>
      </c>
      <c r="L63">
        <v>1200</v>
      </c>
      <c r="M63">
        <v>1200</v>
      </c>
      <c r="N63" s="2">
        <f t="shared" si="6"/>
        <v>2400</v>
      </c>
      <c r="O63" s="2">
        <f t="shared" si="7"/>
        <v>19200</v>
      </c>
      <c r="P63" s="2">
        <f t="shared" si="8"/>
        <v>5.333333333333333</v>
      </c>
      <c r="Q63">
        <v>1040</v>
      </c>
      <c r="R63">
        <v>1040</v>
      </c>
      <c r="S63" s="2">
        <f t="shared" si="9"/>
        <v>2080</v>
      </c>
      <c r="T63" s="2">
        <f t="shared" si="10"/>
        <v>16640</v>
      </c>
      <c r="U63" s="2">
        <f t="shared" si="11"/>
        <v>4.6222222222222218</v>
      </c>
      <c r="V63">
        <v>880</v>
      </c>
      <c r="W63">
        <v>880</v>
      </c>
      <c r="X63" s="2">
        <f t="shared" si="12"/>
        <v>1760</v>
      </c>
      <c r="Y63" s="2">
        <f t="shared" si="13"/>
        <v>14080</v>
      </c>
      <c r="Z63" s="2">
        <f t="shared" si="14"/>
        <v>3.911111111111111</v>
      </c>
      <c r="AA63">
        <v>1120</v>
      </c>
      <c r="AB63">
        <v>1120</v>
      </c>
      <c r="AC63" s="2">
        <f t="shared" si="15"/>
        <v>2240</v>
      </c>
      <c r="AD63" s="2">
        <f t="shared" si="16"/>
        <v>17920</v>
      </c>
      <c r="AE63" s="2">
        <f t="shared" si="17"/>
        <v>4.9777777777777779</v>
      </c>
      <c r="AF63">
        <v>800</v>
      </c>
      <c r="AG63">
        <v>800</v>
      </c>
      <c r="AH63" s="2">
        <f t="shared" si="18"/>
        <v>1600</v>
      </c>
      <c r="AI63" s="2">
        <f t="shared" si="19"/>
        <v>12800</v>
      </c>
      <c r="AJ63" s="2">
        <f t="shared" si="20"/>
        <v>3.5555555555555554</v>
      </c>
      <c r="AK63">
        <v>1040</v>
      </c>
      <c r="AL63">
        <v>1040</v>
      </c>
      <c r="AM63" s="2">
        <f t="shared" si="21"/>
        <v>2080</v>
      </c>
      <c r="AN63" s="2">
        <f t="shared" si="22"/>
        <v>16640</v>
      </c>
      <c r="AO63" s="2">
        <f t="shared" si="23"/>
        <v>4.6222222222222218</v>
      </c>
      <c r="AP63">
        <v>1120</v>
      </c>
      <c r="AQ63">
        <v>1120</v>
      </c>
      <c r="AR63" s="2">
        <f t="shared" si="24"/>
        <v>2240</v>
      </c>
      <c r="AS63" s="2">
        <f t="shared" si="25"/>
        <v>17920</v>
      </c>
      <c r="AT63" s="2">
        <f t="shared" si="26"/>
        <v>4.9777777777777779</v>
      </c>
      <c r="AU63">
        <v>880</v>
      </c>
      <c r="AV63">
        <v>880</v>
      </c>
      <c r="AW63" s="2">
        <f t="shared" si="27"/>
        <v>1760</v>
      </c>
      <c r="AX63" s="2">
        <f t="shared" si="28"/>
        <v>14080</v>
      </c>
      <c r="AY63" s="2">
        <f t="shared" si="29"/>
        <v>3.911111111111111</v>
      </c>
    </row>
    <row r="64" spans="1:51" x14ac:dyDescent="0.3">
      <c r="A64" s="2" t="s">
        <v>68</v>
      </c>
      <c r="B64">
        <v>960</v>
      </c>
      <c r="C64">
        <v>960</v>
      </c>
      <c r="D64" s="2">
        <f t="shared" si="0"/>
        <v>1920</v>
      </c>
      <c r="E64" s="2">
        <f t="shared" si="1"/>
        <v>15360</v>
      </c>
      <c r="F64" s="2">
        <f t="shared" si="2"/>
        <v>4.2666666666666666</v>
      </c>
      <c r="G64">
        <v>1200</v>
      </c>
      <c r="H64">
        <v>1200</v>
      </c>
      <c r="I64" s="2">
        <f t="shared" si="3"/>
        <v>2400</v>
      </c>
      <c r="J64" s="2">
        <f t="shared" si="4"/>
        <v>19200</v>
      </c>
      <c r="K64" s="2">
        <f t="shared" si="5"/>
        <v>5.333333333333333</v>
      </c>
      <c r="L64">
        <v>1040</v>
      </c>
      <c r="M64">
        <v>1040</v>
      </c>
      <c r="N64" s="2">
        <f t="shared" si="6"/>
        <v>2080</v>
      </c>
      <c r="O64" s="2">
        <f t="shared" si="7"/>
        <v>16640</v>
      </c>
      <c r="P64" s="2">
        <f t="shared" si="8"/>
        <v>4.6222222222222218</v>
      </c>
      <c r="Q64">
        <v>960</v>
      </c>
      <c r="R64">
        <v>960</v>
      </c>
      <c r="S64" s="2">
        <f t="shared" si="9"/>
        <v>1920</v>
      </c>
      <c r="T64" s="2">
        <f t="shared" si="10"/>
        <v>15360</v>
      </c>
      <c r="U64" s="2">
        <f t="shared" si="11"/>
        <v>4.2666666666666666</v>
      </c>
      <c r="V64">
        <v>960</v>
      </c>
      <c r="W64">
        <v>960</v>
      </c>
      <c r="X64" s="2">
        <f t="shared" si="12"/>
        <v>1920</v>
      </c>
      <c r="Y64" s="2">
        <f t="shared" si="13"/>
        <v>15360</v>
      </c>
      <c r="Z64" s="2">
        <f t="shared" si="14"/>
        <v>4.2666666666666666</v>
      </c>
      <c r="AA64">
        <v>1040</v>
      </c>
      <c r="AB64">
        <v>1040</v>
      </c>
      <c r="AC64" s="2">
        <f t="shared" si="15"/>
        <v>2080</v>
      </c>
      <c r="AD64" s="2">
        <f t="shared" si="16"/>
        <v>16640</v>
      </c>
      <c r="AE64" s="2">
        <f t="shared" si="17"/>
        <v>4.6222222222222218</v>
      </c>
      <c r="AF64">
        <v>960</v>
      </c>
      <c r="AG64">
        <v>960</v>
      </c>
      <c r="AH64" s="2">
        <f t="shared" si="18"/>
        <v>1920</v>
      </c>
      <c r="AI64" s="2">
        <f t="shared" si="19"/>
        <v>15360</v>
      </c>
      <c r="AJ64" s="2">
        <f t="shared" si="20"/>
        <v>4.2666666666666666</v>
      </c>
      <c r="AK64">
        <v>1040</v>
      </c>
      <c r="AL64">
        <v>1040</v>
      </c>
      <c r="AM64" s="2">
        <f t="shared" si="21"/>
        <v>2080</v>
      </c>
      <c r="AN64" s="2">
        <f t="shared" si="22"/>
        <v>16640</v>
      </c>
      <c r="AO64" s="2">
        <f t="shared" si="23"/>
        <v>4.6222222222222218</v>
      </c>
      <c r="AP64">
        <v>1280</v>
      </c>
      <c r="AQ64">
        <v>1280</v>
      </c>
      <c r="AR64" s="2">
        <f t="shared" si="24"/>
        <v>2560</v>
      </c>
      <c r="AS64" s="2">
        <f t="shared" si="25"/>
        <v>20480</v>
      </c>
      <c r="AT64" s="2">
        <f t="shared" si="26"/>
        <v>5.6888888888888891</v>
      </c>
      <c r="AU64">
        <v>960</v>
      </c>
      <c r="AV64">
        <v>960</v>
      </c>
      <c r="AW64" s="2">
        <f t="shared" si="27"/>
        <v>1920</v>
      </c>
      <c r="AX64" s="2">
        <f t="shared" si="28"/>
        <v>15360</v>
      </c>
      <c r="AY64" s="2">
        <f t="shared" si="29"/>
        <v>4.2666666666666666</v>
      </c>
    </row>
    <row r="65" spans="1:51" x14ac:dyDescent="0.3">
      <c r="A65" s="2" t="s">
        <v>69</v>
      </c>
      <c r="B65">
        <v>1120</v>
      </c>
      <c r="C65">
        <v>1120</v>
      </c>
      <c r="D65" s="2">
        <f t="shared" si="0"/>
        <v>2240</v>
      </c>
      <c r="E65" s="2">
        <f t="shared" si="1"/>
        <v>17920</v>
      </c>
      <c r="F65" s="2">
        <f t="shared" si="2"/>
        <v>4.9777777777777779</v>
      </c>
      <c r="G65">
        <v>960</v>
      </c>
      <c r="H65">
        <v>960</v>
      </c>
      <c r="I65" s="2">
        <f t="shared" si="3"/>
        <v>1920</v>
      </c>
      <c r="J65" s="2">
        <f t="shared" si="4"/>
        <v>15360</v>
      </c>
      <c r="K65" s="2">
        <f t="shared" si="5"/>
        <v>4.2666666666666666</v>
      </c>
      <c r="L65">
        <v>1040</v>
      </c>
      <c r="M65">
        <v>1040</v>
      </c>
      <c r="N65" s="2">
        <f t="shared" si="6"/>
        <v>2080</v>
      </c>
      <c r="O65" s="2">
        <f t="shared" si="7"/>
        <v>16640</v>
      </c>
      <c r="P65" s="2">
        <f t="shared" si="8"/>
        <v>4.6222222222222218</v>
      </c>
      <c r="Q65">
        <v>1040</v>
      </c>
      <c r="R65">
        <v>1040</v>
      </c>
      <c r="S65" s="2">
        <f t="shared" si="9"/>
        <v>2080</v>
      </c>
      <c r="T65" s="2">
        <f t="shared" si="10"/>
        <v>16640</v>
      </c>
      <c r="U65" s="2">
        <f t="shared" si="11"/>
        <v>4.6222222222222218</v>
      </c>
      <c r="V65">
        <v>1040</v>
      </c>
      <c r="W65">
        <v>1040</v>
      </c>
      <c r="X65" s="2">
        <f t="shared" si="12"/>
        <v>2080</v>
      </c>
      <c r="Y65" s="2">
        <f t="shared" si="13"/>
        <v>16640</v>
      </c>
      <c r="Z65" s="2">
        <f t="shared" si="14"/>
        <v>4.6222222222222218</v>
      </c>
      <c r="AA65">
        <v>1200</v>
      </c>
      <c r="AB65">
        <v>1200</v>
      </c>
      <c r="AC65" s="2">
        <f t="shared" si="15"/>
        <v>2400</v>
      </c>
      <c r="AD65" s="2">
        <f t="shared" si="16"/>
        <v>19200</v>
      </c>
      <c r="AE65" s="2">
        <f t="shared" si="17"/>
        <v>5.333333333333333</v>
      </c>
      <c r="AF65">
        <v>960</v>
      </c>
      <c r="AG65">
        <v>960</v>
      </c>
      <c r="AH65" s="2">
        <f t="shared" si="18"/>
        <v>1920</v>
      </c>
      <c r="AI65" s="2">
        <f t="shared" si="19"/>
        <v>15360</v>
      </c>
      <c r="AJ65" s="2">
        <f t="shared" si="20"/>
        <v>4.2666666666666666</v>
      </c>
      <c r="AK65">
        <v>1120</v>
      </c>
      <c r="AL65">
        <v>1120</v>
      </c>
      <c r="AM65" s="2">
        <f t="shared" si="21"/>
        <v>2240</v>
      </c>
      <c r="AN65" s="2">
        <f t="shared" si="22"/>
        <v>17920</v>
      </c>
      <c r="AO65" s="2">
        <f t="shared" si="23"/>
        <v>4.9777777777777779</v>
      </c>
      <c r="AP65">
        <v>1120</v>
      </c>
      <c r="AQ65">
        <v>1120</v>
      </c>
      <c r="AR65" s="2">
        <f t="shared" si="24"/>
        <v>2240</v>
      </c>
      <c r="AS65" s="2">
        <f t="shared" si="25"/>
        <v>17920</v>
      </c>
      <c r="AT65" s="2">
        <f t="shared" si="26"/>
        <v>4.9777777777777779</v>
      </c>
      <c r="AU65">
        <v>1040</v>
      </c>
      <c r="AV65">
        <v>1040</v>
      </c>
      <c r="AW65" s="2">
        <f t="shared" si="27"/>
        <v>2080</v>
      </c>
      <c r="AX65" s="2">
        <f t="shared" si="28"/>
        <v>16640</v>
      </c>
      <c r="AY65" s="2">
        <f t="shared" si="29"/>
        <v>4.6222222222222218</v>
      </c>
    </row>
    <row r="66" spans="1:51" x14ac:dyDescent="0.3">
      <c r="A66" s="2" t="s">
        <v>70</v>
      </c>
      <c r="B66">
        <v>1040</v>
      </c>
      <c r="C66">
        <v>1040</v>
      </c>
      <c r="D66" s="2">
        <f t="shared" si="0"/>
        <v>2080</v>
      </c>
      <c r="E66" s="2">
        <f t="shared" si="1"/>
        <v>16640</v>
      </c>
      <c r="F66" s="2">
        <f t="shared" si="2"/>
        <v>4.6222222222222218</v>
      </c>
      <c r="G66">
        <v>1040</v>
      </c>
      <c r="H66">
        <v>1040</v>
      </c>
      <c r="I66" s="2">
        <f t="shared" si="3"/>
        <v>2080</v>
      </c>
      <c r="J66" s="2">
        <f t="shared" si="4"/>
        <v>16640</v>
      </c>
      <c r="K66" s="2">
        <f t="shared" si="5"/>
        <v>4.6222222222222218</v>
      </c>
      <c r="L66">
        <v>960</v>
      </c>
      <c r="M66">
        <v>960</v>
      </c>
      <c r="N66" s="2">
        <f t="shared" si="6"/>
        <v>1920</v>
      </c>
      <c r="O66" s="2">
        <f t="shared" si="7"/>
        <v>15360</v>
      </c>
      <c r="P66" s="2">
        <f t="shared" si="8"/>
        <v>4.2666666666666666</v>
      </c>
      <c r="Q66">
        <v>1280</v>
      </c>
      <c r="R66">
        <v>1280</v>
      </c>
      <c r="S66" s="2">
        <f t="shared" si="9"/>
        <v>2560</v>
      </c>
      <c r="T66" s="2">
        <f t="shared" si="10"/>
        <v>20480</v>
      </c>
      <c r="U66" s="2">
        <f t="shared" si="11"/>
        <v>5.6888888888888891</v>
      </c>
      <c r="V66">
        <v>1040</v>
      </c>
      <c r="W66">
        <v>1040</v>
      </c>
      <c r="X66" s="2">
        <f t="shared" si="12"/>
        <v>2080</v>
      </c>
      <c r="Y66" s="2">
        <f t="shared" si="13"/>
        <v>16640</v>
      </c>
      <c r="Z66" s="2">
        <f t="shared" si="14"/>
        <v>4.6222222222222218</v>
      </c>
      <c r="AA66">
        <v>1200</v>
      </c>
      <c r="AB66">
        <v>1200</v>
      </c>
      <c r="AC66" s="2">
        <f t="shared" si="15"/>
        <v>2400</v>
      </c>
      <c r="AD66" s="2">
        <f t="shared" si="16"/>
        <v>19200</v>
      </c>
      <c r="AE66" s="2">
        <f t="shared" si="17"/>
        <v>5.333333333333333</v>
      </c>
      <c r="AF66">
        <v>960</v>
      </c>
      <c r="AG66">
        <v>960</v>
      </c>
      <c r="AH66" s="2">
        <f t="shared" si="18"/>
        <v>1920</v>
      </c>
      <c r="AI66" s="2">
        <f t="shared" si="19"/>
        <v>15360</v>
      </c>
      <c r="AJ66" s="2">
        <f t="shared" si="20"/>
        <v>4.2666666666666666</v>
      </c>
      <c r="AK66">
        <v>1040</v>
      </c>
      <c r="AL66">
        <v>1040</v>
      </c>
      <c r="AM66" s="2">
        <f t="shared" si="21"/>
        <v>2080</v>
      </c>
      <c r="AN66" s="2">
        <f t="shared" si="22"/>
        <v>16640</v>
      </c>
      <c r="AO66" s="2">
        <f t="shared" si="23"/>
        <v>4.6222222222222218</v>
      </c>
      <c r="AP66">
        <v>1120</v>
      </c>
      <c r="AQ66">
        <v>1120</v>
      </c>
      <c r="AR66" s="2">
        <f t="shared" si="24"/>
        <v>2240</v>
      </c>
      <c r="AS66" s="2">
        <f t="shared" si="25"/>
        <v>17920</v>
      </c>
      <c r="AT66" s="2">
        <f t="shared" si="26"/>
        <v>4.9777777777777779</v>
      </c>
      <c r="AU66">
        <v>1120</v>
      </c>
      <c r="AV66">
        <v>1120</v>
      </c>
      <c r="AW66" s="2">
        <f t="shared" si="27"/>
        <v>2240</v>
      </c>
      <c r="AX66" s="2">
        <f t="shared" si="28"/>
        <v>17920</v>
      </c>
      <c r="AY66" s="2">
        <f t="shared" si="29"/>
        <v>4.9777777777777779</v>
      </c>
    </row>
    <row r="67" spans="1:51" x14ac:dyDescent="0.3">
      <c r="A67" s="2" t="s">
        <v>71</v>
      </c>
      <c r="B67">
        <v>1200</v>
      </c>
      <c r="C67">
        <v>1200</v>
      </c>
      <c r="D67" s="2">
        <f t="shared" si="0"/>
        <v>2400</v>
      </c>
      <c r="E67" s="2">
        <f t="shared" si="1"/>
        <v>19200</v>
      </c>
      <c r="F67" s="2">
        <f t="shared" si="2"/>
        <v>5.333333333333333</v>
      </c>
      <c r="G67">
        <v>1120</v>
      </c>
      <c r="H67">
        <v>1120</v>
      </c>
      <c r="I67" s="2">
        <f t="shared" si="3"/>
        <v>2240</v>
      </c>
      <c r="J67" s="2">
        <f t="shared" si="4"/>
        <v>17920</v>
      </c>
      <c r="K67" s="2">
        <f t="shared" si="5"/>
        <v>4.9777777777777779</v>
      </c>
      <c r="L67">
        <v>1200</v>
      </c>
      <c r="M67">
        <v>1200</v>
      </c>
      <c r="N67" s="2">
        <f t="shared" si="6"/>
        <v>2400</v>
      </c>
      <c r="O67" s="2">
        <f t="shared" si="7"/>
        <v>19200</v>
      </c>
      <c r="P67" s="2">
        <f t="shared" si="8"/>
        <v>5.333333333333333</v>
      </c>
      <c r="Q67">
        <v>1120</v>
      </c>
      <c r="R67">
        <v>1120</v>
      </c>
      <c r="S67" s="2">
        <f t="shared" si="9"/>
        <v>2240</v>
      </c>
      <c r="T67" s="2">
        <f t="shared" si="10"/>
        <v>17920</v>
      </c>
      <c r="U67" s="2">
        <f t="shared" si="11"/>
        <v>4.9777777777777779</v>
      </c>
      <c r="V67">
        <v>1040</v>
      </c>
      <c r="W67">
        <v>1040</v>
      </c>
      <c r="X67" s="2">
        <f t="shared" si="12"/>
        <v>2080</v>
      </c>
      <c r="Y67" s="2">
        <f t="shared" si="13"/>
        <v>16640</v>
      </c>
      <c r="Z67" s="2">
        <f t="shared" si="14"/>
        <v>4.6222222222222218</v>
      </c>
      <c r="AA67">
        <v>1120</v>
      </c>
      <c r="AB67">
        <v>1120</v>
      </c>
      <c r="AC67" s="2">
        <f t="shared" si="15"/>
        <v>2240</v>
      </c>
      <c r="AD67" s="2">
        <f t="shared" si="16"/>
        <v>17920</v>
      </c>
      <c r="AE67" s="2">
        <f t="shared" si="17"/>
        <v>4.9777777777777779</v>
      </c>
      <c r="AF67">
        <v>1280</v>
      </c>
      <c r="AG67">
        <v>1280</v>
      </c>
      <c r="AH67" s="2">
        <f t="shared" si="18"/>
        <v>2560</v>
      </c>
      <c r="AI67" s="2">
        <f t="shared" si="19"/>
        <v>20480</v>
      </c>
      <c r="AJ67" s="2">
        <f t="shared" si="20"/>
        <v>5.6888888888888891</v>
      </c>
      <c r="AK67">
        <v>1040</v>
      </c>
      <c r="AL67">
        <v>1040</v>
      </c>
      <c r="AM67" s="2">
        <f t="shared" si="21"/>
        <v>2080</v>
      </c>
      <c r="AN67" s="2">
        <f t="shared" si="22"/>
        <v>16640</v>
      </c>
      <c r="AO67" s="2">
        <f t="shared" si="23"/>
        <v>4.6222222222222218</v>
      </c>
      <c r="AP67">
        <v>1120</v>
      </c>
      <c r="AQ67">
        <v>1120</v>
      </c>
      <c r="AR67" s="2">
        <f t="shared" si="24"/>
        <v>2240</v>
      </c>
      <c r="AS67" s="2">
        <f t="shared" si="25"/>
        <v>17920</v>
      </c>
      <c r="AT67" s="2">
        <f t="shared" si="26"/>
        <v>4.9777777777777779</v>
      </c>
      <c r="AU67">
        <v>1120</v>
      </c>
      <c r="AV67">
        <v>1120</v>
      </c>
      <c r="AW67" s="2">
        <f t="shared" si="27"/>
        <v>2240</v>
      </c>
      <c r="AX67" s="2">
        <f t="shared" si="28"/>
        <v>17920</v>
      </c>
      <c r="AY67" s="2">
        <f t="shared" si="29"/>
        <v>4.9777777777777779</v>
      </c>
    </row>
    <row r="68" spans="1:51" x14ac:dyDescent="0.3">
      <c r="A68" s="2" t="s">
        <v>72</v>
      </c>
      <c r="B68">
        <v>1200</v>
      </c>
      <c r="C68">
        <v>1200</v>
      </c>
      <c r="D68" s="2">
        <f t="shared" ref="D68:D102" si="30">SUM(B68:C68)</f>
        <v>2400</v>
      </c>
      <c r="E68" s="2">
        <f t="shared" ref="E68:E102" si="31">(D68*8)</f>
        <v>19200</v>
      </c>
      <c r="F68" s="2">
        <f t="shared" ref="F68:F102" si="32">(E68/3600)</f>
        <v>5.333333333333333</v>
      </c>
      <c r="G68">
        <v>1040</v>
      </c>
      <c r="H68">
        <v>1040</v>
      </c>
      <c r="I68" s="2">
        <f t="shared" ref="I68:I102" si="33">SUM(G68:H68)</f>
        <v>2080</v>
      </c>
      <c r="J68" s="2">
        <f t="shared" ref="J68:J102" si="34">(I68*8)</f>
        <v>16640</v>
      </c>
      <c r="K68" s="2">
        <f t="shared" ref="K68:K102" si="35">(J68/3600)</f>
        <v>4.6222222222222218</v>
      </c>
      <c r="L68">
        <v>1040</v>
      </c>
      <c r="M68">
        <v>1040</v>
      </c>
      <c r="N68" s="2">
        <f t="shared" ref="N68:N102" si="36">SUM(L68:M68)</f>
        <v>2080</v>
      </c>
      <c r="O68" s="2">
        <f t="shared" ref="O68:O102" si="37">(N68*8)</f>
        <v>16640</v>
      </c>
      <c r="P68" s="2">
        <f t="shared" ref="P68:P102" si="38">(O68/3600)</f>
        <v>4.6222222222222218</v>
      </c>
      <c r="Q68">
        <v>880</v>
      </c>
      <c r="R68">
        <v>880</v>
      </c>
      <c r="S68" s="2">
        <f t="shared" ref="S68:S102" si="39">SUM(Q68:R68)</f>
        <v>1760</v>
      </c>
      <c r="T68" s="2">
        <f t="shared" ref="T68:T102" si="40">(S68*8)</f>
        <v>14080</v>
      </c>
      <c r="U68" s="2">
        <f t="shared" ref="U68:U102" si="41">(T68/3600)</f>
        <v>3.911111111111111</v>
      </c>
      <c r="V68">
        <v>1040</v>
      </c>
      <c r="W68">
        <v>1040</v>
      </c>
      <c r="X68" s="2">
        <f t="shared" ref="X68:X102" si="42">SUM(V68:W68)</f>
        <v>2080</v>
      </c>
      <c r="Y68" s="2">
        <f t="shared" ref="Y68:Y102" si="43">(X68*8)</f>
        <v>16640</v>
      </c>
      <c r="Z68" s="2">
        <f t="shared" ref="Z68:Z102" si="44">(Y68/3600)</f>
        <v>4.6222222222222218</v>
      </c>
      <c r="AA68">
        <v>1040</v>
      </c>
      <c r="AB68">
        <v>1040</v>
      </c>
      <c r="AC68" s="2">
        <f t="shared" ref="AC68:AC102" si="45">SUM(AA68:AB68)</f>
        <v>2080</v>
      </c>
      <c r="AD68" s="2">
        <f t="shared" ref="AD68:AD102" si="46">(AC68*8)</f>
        <v>16640</v>
      </c>
      <c r="AE68" s="2">
        <f t="shared" ref="AE68:AE102" si="47">(AD68/3600)</f>
        <v>4.6222222222222218</v>
      </c>
      <c r="AF68">
        <v>1040</v>
      </c>
      <c r="AG68">
        <v>1040</v>
      </c>
      <c r="AH68" s="2">
        <f t="shared" ref="AH68:AH102" si="48">SUM(AF68:AG68)</f>
        <v>2080</v>
      </c>
      <c r="AI68" s="2">
        <f t="shared" ref="AI68:AI102" si="49">(AH68*8)</f>
        <v>16640</v>
      </c>
      <c r="AJ68" s="2">
        <f t="shared" ref="AJ68:AJ102" si="50">(AI68/3600)</f>
        <v>4.6222222222222218</v>
      </c>
      <c r="AK68">
        <v>1040</v>
      </c>
      <c r="AL68">
        <v>1040</v>
      </c>
      <c r="AM68" s="2">
        <f t="shared" ref="AM68:AM102" si="51">SUM(AK68:AL68)</f>
        <v>2080</v>
      </c>
      <c r="AN68" s="2">
        <f t="shared" ref="AN68:AN102" si="52">(AM68*8)</f>
        <v>16640</v>
      </c>
      <c r="AO68" s="2">
        <f t="shared" ref="AO68:AO102" si="53">(AN68/3600)</f>
        <v>4.6222222222222218</v>
      </c>
      <c r="AP68">
        <v>960</v>
      </c>
      <c r="AQ68">
        <v>960</v>
      </c>
      <c r="AR68" s="2">
        <f t="shared" ref="AR68:AR102" si="54">SUM(AP68:AQ68)</f>
        <v>1920</v>
      </c>
      <c r="AS68" s="2">
        <f t="shared" ref="AS68:AS102" si="55">(AR68*8)</f>
        <v>15360</v>
      </c>
      <c r="AT68" s="2">
        <f t="shared" ref="AT68:AT102" si="56">(AS68/3600)</f>
        <v>4.2666666666666666</v>
      </c>
      <c r="AU68">
        <v>960</v>
      </c>
      <c r="AV68">
        <v>960</v>
      </c>
      <c r="AW68" s="2">
        <f t="shared" ref="AW68:AW102" si="57">SUM(AU68:AV68)</f>
        <v>1920</v>
      </c>
      <c r="AX68" s="2">
        <f t="shared" ref="AX68:AX102" si="58">(AW68*8)</f>
        <v>15360</v>
      </c>
      <c r="AY68" s="2">
        <f t="shared" ref="AY68:AY102" si="59">(AX68/3600)</f>
        <v>4.2666666666666666</v>
      </c>
    </row>
    <row r="69" spans="1:51" x14ac:dyDescent="0.3">
      <c r="A69" s="2" t="s">
        <v>73</v>
      </c>
      <c r="B69">
        <v>1200</v>
      </c>
      <c r="C69">
        <v>1200</v>
      </c>
      <c r="D69" s="2">
        <f t="shared" si="30"/>
        <v>2400</v>
      </c>
      <c r="E69" s="2">
        <f t="shared" si="31"/>
        <v>19200</v>
      </c>
      <c r="F69" s="2">
        <f t="shared" si="32"/>
        <v>5.333333333333333</v>
      </c>
      <c r="G69">
        <v>1280</v>
      </c>
      <c r="H69">
        <v>1280</v>
      </c>
      <c r="I69" s="2">
        <f t="shared" si="33"/>
        <v>2560</v>
      </c>
      <c r="J69" s="2">
        <f t="shared" si="34"/>
        <v>20480</v>
      </c>
      <c r="K69" s="2">
        <f t="shared" si="35"/>
        <v>5.6888888888888891</v>
      </c>
      <c r="L69">
        <v>1200</v>
      </c>
      <c r="M69">
        <v>1200</v>
      </c>
      <c r="N69" s="2">
        <f t="shared" si="36"/>
        <v>2400</v>
      </c>
      <c r="O69" s="2">
        <f t="shared" si="37"/>
        <v>19200</v>
      </c>
      <c r="P69" s="2">
        <f t="shared" si="38"/>
        <v>5.333333333333333</v>
      </c>
      <c r="Q69">
        <v>1200</v>
      </c>
      <c r="R69">
        <v>1200</v>
      </c>
      <c r="S69" s="2">
        <f t="shared" si="39"/>
        <v>2400</v>
      </c>
      <c r="T69" s="2">
        <f t="shared" si="40"/>
        <v>19200</v>
      </c>
      <c r="U69" s="2">
        <f t="shared" si="41"/>
        <v>5.333333333333333</v>
      </c>
      <c r="V69">
        <v>1200</v>
      </c>
      <c r="W69">
        <v>1200</v>
      </c>
      <c r="X69" s="2">
        <f t="shared" si="42"/>
        <v>2400</v>
      </c>
      <c r="Y69" s="2">
        <f t="shared" si="43"/>
        <v>19200</v>
      </c>
      <c r="Z69" s="2">
        <f t="shared" si="44"/>
        <v>5.333333333333333</v>
      </c>
      <c r="AA69">
        <v>1200</v>
      </c>
      <c r="AB69">
        <v>1200</v>
      </c>
      <c r="AC69" s="2">
        <f t="shared" si="45"/>
        <v>2400</v>
      </c>
      <c r="AD69" s="2">
        <f t="shared" si="46"/>
        <v>19200</v>
      </c>
      <c r="AE69" s="2">
        <f t="shared" si="47"/>
        <v>5.333333333333333</v>
      </c>
      <c r="AF69">
        <v>1200</v>
      </c>
      <c r="AG69">
        <v>1200</v>
      </c>
      <c r="AH69" s="2">
        <f t="shared" si="48"/>
        <v>2400</v>
      </c>
      <c r="AI69" s="2">
        <f t="shared" si="49"/>
        <v>19200</v>
      </c>
      <c r="AJ69" s="2">
        <f t="shared" si="50"/>
        <v>5.333333333333333</v>
      </c>
      <c r="AK69">
        <v>1040</v>
      </c>
      <c r="AL69">
        <v>1040</v>
      </c>
      <c r="AM69" s="2">
        <f t="shared" si="51"/>
        <v>2080</v>
      </c>
      <c r="AN69" s="2">
        <f t="shared" si="52"/>
        <v>16640</v>
      </c>
      <c r="AO69" s="2">
        <f t="shared" si="53"/>
        <v>4.6222222222222218</v>
      </c>
      <c r="AP69">
        <v>1200</v>
      </c>
      <c r="AQ69">
        <v>1200</v>
      </c>
      <c r="AR69" s="2">
        <f t="shared" si="54"/>
        <v>2400</v>
      </c>
      <c r="AS69" s="2">
        <f t="shared" si="55"/>
        <v>19200</v>
      </c>
      <c r="AT69" s="2">
        <f t="shared" si="56"/>
        <v>5.333333333333333</v>
      </c>
      <c r="AU69">
        <v>1040</v>
      </c>
      <c r="AV69">
        <v>1040</v>
      </c>
      <c r="AW69" s="2">
        <f t="shared" si="57"/>
        <v>2080</v>
      </c>
      <c r="AX69" s="2">
        <f t="shared" si="58"/>
        <v>16640</v>
      </c>
      <c r="AY69" s="2">
        <f t="shared" si="59"/>
        <v>4.6222222222222218</v>
      </c>
    </row>
    <row r="70" spans="1:51" x14ac:dyDescent="0.3">
      <c r="A70" s="2" t="s">
        <v>74</v>
      </c>
      <c r="B70">
        <v>880</v>
      </c>
      <c r="C70">
        <v>880</v>
      </c>
      <c r="D70" s="2">
        <f t="shared" si="30"/>
        <v>1760</v>
      </c>
      <c r="E70" s="2">
        <f t="shared" si="31"/>
        <v>14080</v>
      </c>
      <c r="F70" s="2">
        <f t="shared" si="32"/>
        <v>3.911111111111111</v>
      </c>
      <c r="G70">
        <v>1040</v>
      </c>
      <c r="H70">
        <v>1040</v>
      </c>
      <c r="I70" s="2">
        <f t="shared" si="33"/>
        <v>2080</v>
      </c>
      <c r="J70" s="2">
        <f t="shared" si="34"/>
        <v>16640</v>
      </c>
      <c r="K70" s="2">
        <f t="shared" si="35"/>
        <v>4.6222222222222218</v>
      </c>
      <c r="L70">
        <v>1040</v>
      </c>
      <c r="M70">
        <v>1040</v>
      </c>
      <c r="N70" s="2">
        <f t="shared" si="36"/>
        <v>2080</v>
      </c>
      <c r="O70" s="2">
        <f t="shared" si="37"/>
        <v>16640</v>
      </c>
      <c r="P70" s="2">
        <f t="shared" si="38"/>
        <v>4.6222222222222218</v>
      </c>
      <c r="Q70">
        <v>1120</v>
      </c>
      <c r="R70">
        <v>1120</v>
      </c>
      <c r="S70" s="2">
        <f t="shared" si="39"/>
        <v>2240</v>
      </c>
      <c r="T70" s="2">
        <f t="shared" si="40"/>
        <v>17920</v>
      </c>
      <c r="U70" s="2">
        <f t="shared" si="41"/>
        <v>4.9777777777777779</v>
      </c>
      <c r="V70">
        <v>1040</v>
      </c>
      <c r="W70">
        <v>1040</v>
      </c>
      <c r="X70" s="2">
        <f t="shared" si="42"/>
        <v>2080</v>
      </c>
      <c r="Y70" s="2">
        <f t="shared" si="43"/>
        <v>16640</v>
      </c>
      <c r="Z70" s="2">
        <f t="shared" si="44"/>
        <v>4.6222222222222218</v>
      </c>
      <c r="AA70">
        <v>1120</v>
      </c>
      <c r="AB70">
        <v>1120</v>
      </c>
      <c r="AC70" s="2">
        <f t="shared" si="45"/>
        <v>2240</v>
      </c>
      <c r="AD70" s="2">
        <f t="shared" si="46"/>
        <v>17920</v>
      </c>
      <c r="AE70" s="2">
        <f t="shared" si="47"/>
        <v>4.9777777777777779</v>
      </c>
      <c r="AF70">
        <v>1040</v>
      </c>
      <c r="AG70">
        <v>1040</v>
      </c>
      <c r="AH70" s="2">
        <f t="shared" si="48"/>
        <v>2080</v>
      </c>
      <c r="AI70" s="2">
        <f t="shared" si="49"/>
        <v>16640</v>
      </c>
      <c r="AJ70" s="2">
        <f t="shared" si="50"/>
        <v>4.6222222222222218</v>
      </c>
      <c r="AK70">
        <v>960</v>
      </c>
      <c r="AL70">
        <v>960</v>
      </c>
      <c r="AM70" s="2">
        <f t="shared" si="51"/>
        <v>1920</v>
      </c>
      <c r="AN70" s="2">
        <f t="shared" si="52"/>
        <v>15360</v>
      </c>
      <c r="AO70" s="2">
        <f t="shared" si="53"/>
        <v>4.2666666666666666</v>
      </c>
      <c r="AP70">
        <v>960</v>
      </c>
      <c r="AQ70">
        <v>960</v>
      </c>
      <c r="AR70" s="2">
        <f t="shared" si="54"/>
        <v>1920</v>
      </c>
      <c r="AS70" s="2">
        <f t="shared" si="55"/>
        <v>15360</v>
      </c>
      <c r="AT70" s="2">
        <f t="shared" si="56"/>
        <v>4.2666666666666666</v>
      </c>
      <c r="AU70">
        <v>1120</v>
      </c>
      <c r="AV70">
        <v>1120</v>
      </c>
      <c r="AW70" s="2">
        <f t="shared" si="57"/>
        <v>2240</v>
      </c>
      <c r="AX70" s="2">
        <f t="shared" si="58"/>
        <v>17920</v>
      </c>
      <c r="AY70" s="2">
        <f t="shared" si="59"/>
        <v>4.9777777777777779</v>
      </c>
    </row>
    <row r="71" spans="1:51" x14ac:dyDescent="0.3">
      <c r="A71" s="2" t="s">
        <v>75</v>
      </c>
      <c r="B71">
        <v>1040</v>
      </c>
      <c r="C71">
        <v>1040</v>
      </c>
      <c r="D71" s="2">
        <f t="shared" si="30"/>
        <v>2080</v>
      </c>
      <c r="E71" s="2">
        <f t="shared" si="31"/>
        <v>16640</v>
      </c>
      <c r="F71" s="2">
        <f t="shared" si="32"/>
        <v>4.6222222222222218</v>
      </c>
      <c r="G71">
        <v>960</v>
      </c>
      <c r="H71">
        <v>960</v>
      </c>
      <c r="I71" s="2">
        <f t="shared" si="33"/>
        <v>1920</v>
      </c>
      <c r="J71" s="2">
        <f t="shared" si="34"/>
        <v>15360</v>
      </c>
      <c r="K71" s="2">
        <f t="shared" si="35"/>
        <v>4.2666666666666666</v>
      </c>
      <c r="L71">
        <v>1120</v>
      </c>
      <c r="M71">
        <v>1120</v>
      </c>
      <c r="N71" s="2">
        <f t="shared" si="36"/>
        <v>2240</v>
      </c>
      <c r="O71" s="2">
        <f t="shared" si="37"/>
        <v>17920</v>
      </c>
      <c r="P71" s="2">
        <f t="shared" si="38"/>
        <v>4.9777777777777779</v>
      </c>
      <c r="Q71">
        <v>1040</v>
      </c>
      <c r="R71">
        <v>1040</v>
      </c>
      <c r="S71" s="2">
        <f t="shared" si="39"/>
        <v>2080</v>
      </c>
      <c r="T71" s="2">
        <f t="shared" si="40"/>
        <v>16640</v>
      </c>
      <c r="U71" s="2">
        <f t="shared" si="41"/>
        <v>4.6222222222222218</v>
      </c>
      <c r="V71">
        <v>1040</v>
      </c>
      <c r="W71">
        <v>1040</v>
      </c>
      <c r="X71" s="2">
        <f t="shared" si="42"/>
        <v>2080</v>
      </c>
      <c r="Y71" s="2">
        <f t="shared" si="43"/>
        <v>16640</v>
      </c>
      <c r="Z71" s="2">
        <f t="shared" si="44"/>
        <v>4.6222222222222218</v>
      </c>
      <c r="AA71">
        <v>960</v>
      </c>
      <c r="AB71">
        <v>960</v>
      </c>
      <c r="AC71" s="2">
        <f t="shared" si="45"/>
        <v>1920</v>
      </c>
      <c r="AD71" s="2">
        <f t="shared" si="46"/>
        <v>15360</v>
      </c>
      <c r="AE71" s="2">
        <f t="shared" si="47"/>
        <v>4.2666666666666666</v>
      </c>
      <c r="AF71">
        <v>1200</v>
      </c>
      <c r="AG71">
        <v>1200</v>
      </c>
      <c r="AH71" s="2">
        <f t="shared" si="48"/>
        <v>2400</v>
      </c>
      <c r="AI71" s="2">
        <f t="shared" si="49"/>
        <v>19200</v>
      </c>
      <c r="AJ71" s="2">
        <f t="shared" si="50"/>
        <v>5.333333333333333</v>
      </c>
      <c r="AK71">
        <v>1040</v>
      </c>
      <c r="AL71">
        <v>1040</v>
      </c>
      <c r="AM71" s="2">
        <f t="shared" si="51"/>
        <v>2080</v>
      </c>
      <c r="AN71" s="2">
        <f t="shared" si="52"/>
        <v>16640</v>
      </c>
      <c r="AO71" s="2">
        <f t="shared" si="53"/>
        <v>4.6222222222222218</v>
      </c>
      <c r="AP71">
        <v>960</v>
      </c>
      <c r="AQ71">
        <v>960</v>
      </c>
      <c r="AR71" s="2">
        <f t="shared" si="54"/>
        <v>1920</v>
      </c>
      <c r="AS71" s="2">
        <f t="shared" si="55"/>
        <v>15360</v>
      </c>
      <c r="AT71" s="2">
        <f t="shared" si="56"/>
        <v>4.2666666666666666</v>
      </c>
      <c r="AU71">
        <v>1120</v>
      </c>
      <c r="AV71">
        <v>1120</v>
      </c>
      <c r="AW71" s="2">
        <f t="shared" si="57"/>
        <v>2240</v>
      </c>
      <c r="AX71" s="2">
        <f t="shared" si="58"/>
        <v>17920</v>
      </c>
      <c r="AY71" s="2">
        <f t="shared" si="59"/>
        <v>4.9777777777777779</v>
      </c>
    </row>
    <row r="72" spans="1:51" x14ac:dyDescent="0.3">
      <c r="A72" s="2" t="s">
        <v>76</v>
      </c>
      <c r="B72">
        <v>1280</v>
      </c>
      <c r="C72">
        <v>1280</v>
      </c>
      <c r="D72" s="2">
        <f t="shared" si="30"/>
        <v>2560</v>
      </c>
      <c r="E72" s="2">
        <f t="shared" si="31"/>
        <v>20480</v>
      </c>
      <c r="F72" s="2">
        <f t="shared" si="32"/>
        <v>5.6888888888888891</v>
      </c>
      <c r="G72">
        <v>1200</v>
      </c>
      <c r="H72">
        <v>1200</v>
      </c>
      <c r="I72" s="2">
        <f t="shared" si="33"/>
        <v>2400</v>
      </c>
      <c r="J72" s="2">
        <f t="shared" si="34"/>
        <v>19200</v>
      </c>
      <c r="K72" s="2">
        <f t="shared" si="35"/>
        <v>5.333333333333333</v>
      </c>
      <c r="L72">
        <v>1200</v>
      </c>
      <c r="M72">
        <v>1200</v>
      </c>
      <c r="N72" s="2">
        <f t="shared" si="36"/>
        <v>2400</v>
      </c>
      <c r="O72" s="2">
        <f t="shared" si="37"/>
        <v>19200</v>
      </c>
      <c r="P72" s="2">
        <f t="shared" si="38"/>
        <v>5.333333333333333</v>
      </c>
      <c r="Q72">
        <v>1040</v>
      </c>
      <c r="R72">
        <v>1040</v>
      </c>
      <c r="S72" s="2">
        <f t="shared" si="39"/>
        <v>2080</v>
      </c>
      <c r="T72" s="2">
        <f t="shared" si="40"/>
        <v>16640</v>
      </c>
      <c r="U72" s="2">
        <f t="shared" si="41"/>
        <v>4.6222222222222218</v>
      </c>
      <c r="V72">
        <v>1200</v>
      </c>
      <c r="W72">
        <v>1200</v>
      </c>
      <c r="X72" s="2">
        <f t="shared" si="42"/>
        <v>2400</v>
      </c>
      <c r="Y72" s="2">
        <f t="shared" si="43"/>
        <v>19200</v>
      </c>
      <c r="Z72" s="2">
        <f t="shared" si="44"/>
        <v>5.333333333333333</v>
      </c>
      <c r="AA72">
        <v>1040</v>
      </c>
      <c r="AB72">
        <v>1040</v>
      </c>
      <c r="AC72" s="2">
        <f t="shared" si="45"/>
        <v>2080</v>
      </c>
      <c r="AD72" s="2">
        <f t="shared" si="46"/>
        <v>16640</v>
      </c>
      <c r="AE72" s="2">
        <f t="shared" si="47"/>
        <v>4.6222222222222218</v>
      </c>
      <c r="AF72">
        <v>960</v>
      </c>
      <c r="AG72">
        <v>960</v>
      </c>
      <c r="AH72" s="2">
        <f t="shared" si="48"/>
        <v>1920</v>
      </c>
      <c r="AI72" s="2">
        <f t="shared" si="49"/>
        <v>15360</v>
      </c>
      <c r="AJ72" s="2">
        <f t="shared" si="50"/>
        <v>4.2666666666666666</v>
      </c>
      <c r="AK72">
        <v>1200</v>
      </c>
      <c r="AL72">
        <v>1200</v>
      </c>
      <c r="AM72" s="2">
        <f t="shared" si="51"/>
        <v>2400</v>
      </c>
      <c r="AN72" s="2">
        <f t="shared" si="52"/>
        <v>19200</v>
      </c>
      <c r="AO72" s="2">
        <f t="shared" si="53"/>
        <v>5.333333333333333</v>
      </c>
      <c r="AP72">
        <v>1280</v>
      </c>
      <c r="AQ72">
        <v>1280</v>
      </c>
      <c r="AR72" s="2">
        <f t="shared" si="54"/>
        <v>2560</v>
      </c>
      <c r="AS72" s="2">
        <f t="shared" si="55"/>
        <v>20480</v>
      </c>
      <c r="AT72" s="2">
        <f t="shared" si="56"/>
        <v>5.6888888888888891</v>
      </c>
      <c r="AU72">
        <v>1120</v>
      </c>
      <c r="AV72">
        <v>1120</v>
      </c>
      <c r="AW72" s="2">
        <f t="shared" si="57"/>
        <v>2240</v>
      </c>
      <c r="AX72" s="2">
        <f t="shared" si="58"/>
        <v>17920</v>
      </c>
      <c r="AY72" s="2">
        <f t="shared" si="59"/>
        <v>4.9777777777777779</v>
      </c>
    </row>
    <row r="73" spans="1:51" x14ac:dyDescent="0.3">
      <c r="A73" s="2" t="s">
        <v>77</v>
      </c>
      <c r="B73">
        <v>1040</v>
      </c>
      <c r="C73">
        <v>1040</v>
      </c>
      <c r="D73" s="2">
        <f t="shared" si="30"/>
        <v>2080</v>
      </c>
      <c r="E73" s="2">
        <f t="shared" si="31"/>
        <v>16640</v>
      </c>
      <c r="F73" s="2">
        <f t="shared" si="32"/>
        <v>4.6222222222222218</v>
      </c>
      <c r="G73">
        <v>1120</v>
      </c>
      <c r="H73">
        <v>1120</v>
      </c>
      <c r="I73" s="2">
        <f t="shared" si="33"/>
        <v>2240</v>
      </c>
      <c r="J73" s="2">
        <f t="shared" si="34"/>
        <v>17920</v>
      </c>
      <c r="K73" s="2">
        <f t="shared" si="35"/>
        <v>4.9777777777777779</v>
      </c>
      <c r="L73">
        <v>960</v>
      </c>
      <c r="M73">
        <v>960</v>
      </c>
      <c r="N73" s="2">
        <f t="shared" si="36"/>
        <v>1920</v>
      </c>
      <c r="O73" s="2">
        <f t="shared" si="37"/>
        <v>15360</v>
      </c>
      <c r="P73" s="2">
        <f t="shared" si="38"/>
        <v>4.2666666666666666</v>
      </c>
      <c r="Q73">
        <v>1120</v>
      </c>
      <c r="R73">
        <v>1120</v>
      </c>
      <c r="S73" s="2">
        <f t="shared" si="39"/>
        <v>2240</v>
      </c>
      <c r="T73" s="2">
        <f t="shared" si="40"/>
        <v>17920</v>
      </c>
      <c r="U73" s="2">
        <f t="shared" si="41"/>
        <v>4.9777777777777779</v>
      </c>
      <c r="V73">
        <v>1040</v>
      </c>
      <c r="W73">
        <v>1040</v>
      </c>
      <c r="X73" s="2">
        <f t="shared" si="42"/>
        <v>2080</v>
      </c>
      <c r="Y73" s="2">
        <f t="shared" si="43"/>
        <v>16640</v>
      </c>
      <c r="Z73" s="2">
        <f t="shared" si="44"/>
        <v>4.6222222222222218</v>
      </c>
      <c r="AA73">
        <v>1040</v>
      </c>
      <c r="AB73">
        <v>1040</v>
      </c>
      <c r="AC73" s="2">
        <f t="shared" si="45"/>
        <v>2080</v>
      </c>
      <c r="AD73" s="2">
        <f t="shared" si="46"/>
        <v>16640</v>
      </c>
      <c r="AE73" s="2">
        <f t="shared" si="47"/>
        <v>4.6222222222222218</v>
      </c>
      <c r="AF73">
        <v>960</v>
      </c>
      <c r="AG73">
        <v>960</v>
      </c>
      <c r="AH73" s="2">
        <f t="shared" si="48"/>
        <v>1920</v>
      </c>
      <c r="AI73" s="2">
        <f t="shared" si="49"/>
        <v>15360</v>
      </c>
      <c r="AJ73" s="2">
        <f t="shared" si="50"/>
        <v>4.2666666666666666</v>
      </c>
      <c r="AK73">
        <v>960</v>
      </c>
      <c r="AL73">
        <v>960</v>
      </c>
      <c r="AM73" s="2">
        <f t="shared" si="51"/>
        <v>1920</v>
      </c>
      <c r="AN73" s="2">
        <f t="shared" si="52"/>
        <v>15360</v>
      </c>
      <c r="AO73" s="2">
        <f t="shared" si="53"/>
        <v>4.2666666666666666</v>
      </c>
      <c r="AP73">
        <v>1200</v>
      </c>
      <c r="AQ73">
        <v>1200</v>
      </c>
      <c r="AR73" s="2">
        <f t="shared" si="54"/>
        <v>2400</v>
      </c>
      <c r="AS73" s="2">
        <f t="shared" si="55"/>
        <v>19200</v>
      </c>
      <c r="AT73" s="2">
        <f t="shared" si="56"/>
        <v>5.333333333333333</v>
      </c>
      <c r="AU73">
        <v>1120</v>
      </c>
      <c r="AV73">
        <v>1120</v>
      </c>
      <c r="AW73" s="2">
        <f t="shared" si="57"/>
        <v>2240</v>
      </c>
      <c r="AX73" s="2">
        <f t="shared" si="58"/>
        <v>17920</v>
      </c>
      <c r="AY73" s="2">
        <f t="shared" si="59"/>
        <v>4.9777777777777779</v>
      </c>
    </row>
    <row r="74" spans="1:51" x14ac:dyDescent="0.3">
      <c r="A74" s="2" t="s">
        <v>78</v>
      </c>
      <c r="B74">
        <v>1120</v>
      </c>
      <c r="C74">
        <v>1120</v>
      </c>
      <c r="D74" s="2">
        <f t="shared" si="30"/>
        <v>2240</v>
      </c>
      <c r="E74" s="2">
        <f t="shared" si="31"/>
        <v>17920</v>
      </c>
      <c r="F74" s="2">
        <f t="shared" si="32"/>
        <v>4.9777777777777779</v>
      </c>
      <c r="G74">
        <v>960</v>
      </c>
      <c r="H74">
        <v>960</v>
      </c>
      <c r="I74" s="2">
        <f t="shared" si="33"/>
        <v>1920</v>
      </c>
      <c r="J74" s="2">
        <f t="shared" si="34"/>
        <v>15360</v>
      </c>
      <c r="K74" s="2">
        <f t="shared" si="35"/>
        <v>4.2666666666666666</v>
      </c>
      <c r="L74">
        <v>960</v>
      </c>
      <c r="M74">
        <v>960</v>
      </c>
      <c r="N74" s="2">
        <f t="shared" si="36"/>
        <v>1920</v>
      </c>
      <c r="O74" s="2">
        <f t="shared" si="37"/>
        <v>15360</v>
      </c>
      <c r="P74" s="2">
        <f t="shared" si="38"/>
        <v>4.2666666666666666</v>
      </c>
      <c r="Q74">
        <v>1040</v>
      </c>
      <c r="R74">
        <v>1040</v>
      </c>
      <c r="S74" s="2">
        <f t="shared" si="39"/>
        <v>2080</v>
      </c>
      <c r="T74" s="2">
        <f t="shared" si="40"/>
        <v>16640</v>
      </c>
      <c r="U74" s="2">
        <f t="shared" si="41"/>
        <v>4.6222222222222218</v>
      </c>
      <c r="V74">
        <v>1280</v>
      </c>
      <c r="W74">
        <v>1280</v>
      </c>
      <c r="X74" s="2">
        <f t="shared" si="42"/>
        <v>2560</v>
      </c>
      <c r="Y74" s="2">
        <f t="shared" si="43"/>
        <v>20480</v>
      </c>
      <c r="Z74" s="2">
        <f t="shared" si="44"/>
        <v>5.6888888888888891</v>
      </c>
      <c r="AA74">
        <v>1040</v>
      </c>
      <c r="AB74">
        <v>1040</v>
      </c>
      <c r="AC74" s="2">
        <f t="shared" si="45"/>
        <v>2080</v>
      </c>
      <c r="AD74" s="2">
        <f t="shared" si="46"/>
        <v>16640</v>
      </c>
      <c r="AE74" s="2">
        <f t="shared" si="47"/>
        <v>4.6222222222222218</v>
      </c>
      <c r="AF74">
        <v>880</v>
      </c>
      <c r="AG74">
        <v>880</v>
      </c>
      <c r="AH74" s="2">
        <f t="shared" si="48"/>
        <v>1760</v>
      </c>
      <c r="AI74" s="2">
        <f t="shared" si="49"/>
        <v>14080</v>
      </c>
      <c r="AJ74" s="2">
        <f t="shared" si="50"/>
        <v>3.911111111111111</v>
      </c>
      <c r="AK74">
        <v>960</v>
      </c>
      <c r="AL74">
        <v>960</v>
      </c>
      <c r="AM74" s="2">
        <f t="shared" si="51"/>
        <v>1920</v>
      </c>
      <c r="AN74" s="2">
        <f t="shared" si="52"/>
        <v>15360</v>
      </c>
      <c r="AO74" s="2">
        <f t="shared" si="53"/>
        <v>4.2666666666666666</v>
      </c>
      <c r="AP74">
        <v>1200</v>
      </c>
      <c r="AQ74">
        <v>1200</v>
      </c>
      <c r="AR74" s="2">
        <f t="shared" si="54"/>
        <v>2400</v>
      </c>
      <c r="AS74" s="2">
        <f t="shared" si="55"/>
        <v>19200</v>
      </c>
      <c r="AT74" s="2">
        <f t="shared" si="56"/>
        <v>5.333333333333333</v>
      </c>
      <c r="AU74">
        <v>960</v>
      </c>
      <c r="AV74">
        <v>960</v>
      </c>
      <c r="AW74" s="2">
        <f t="shared" si="57"/>
        <v>1920</v>
      </c>
      <c r="AX74" s="2">
        <f t="shared" si="58"/>
        <v>15360</v>
      </c>
      <c r="AY74" s="2">
        <f t="shared" si="59"/>
        <v>4.2666666666666666</v>
      </c>
    </row>
    <row r="75" spans="1:51" x14ac:dyDescent="0.3">
      <c r="A75" s="2" t="s">
        <v>79</v>
      </c>
      <c r="B75">
        <v>1120</v>
      </c>
      <c r="C75">
        <v>1120</v>
      </c>
      <c r="D75" s="2">
        <f t="shared" si="30"/>
        <v>2240</v>
      </c>
      <c r="E75" s="2">
        <f t="shared" si="31"/>
        <v>17920</v>
      </c>
      <c r="F75" s="2">
        <f t="shared" si="32"/>
        <v>4.9777777777777779</v>
      </c>
      <c r="G75">
        <v>1200</v>
      </c>
      <c r="H75">
        <v>1200</v>
      </c>
      <c r="I75" s="2">
        <f t="shared" si="33"/>
        <v>2400</v>
      </c>
      <c r="J75" s="2">
        <f t="shared" si="34"/>
        <v>19200</v>
      </c>
      <c r="K75" s="2">
        <f t="shared" si="35"/>
        <v>5.333333333333333</v>
      </c>
      <c r="L75">
        <v>1120</v>
      </c>
      <c r="M75">
        <v>1120</v>
      </c>
      <c r="N75" s="2">
        <f t="shared" si="36"/>
        <v>2240</v>
      </c>
      <c r="O75" s="2">
        <f t="shared" si="37"/>
        <v>17920</v>
      </c>
      <c r="P75" s="2">
        <f t="shared" si="38"/>
        <v>4.9777777777777779</v>
      </c>
      <c r="Q75">
        <v>1200</v>
      </c>
      <c r="R75">
        <v>1200</v>
      </c>
      <c r="S75" s="2">
        <f t="shared" si="39"/>
        <v>2400</v>
      </c>
      <c r="T75" s="2">
        <f t="shared" si="40"/>
        <v>19200</v>
      </c>
      <c r="U75" s="2">
        <f t="shared" si="41"/>
        <v>5.333333333333333</v>
      </c>
      <c r="V75">
        <v>1040</v>
      </c>
      <c r="W75">
        <v>1040</v>
      </c>
      <c r="X75" s="2">
        <f t="shared" si="42"/>
        <v>2080</v>
      </c>
      <c r="Y75" s="2">
        <f t="shared" si="43"/>
        <v>16640</v>
      </c>
      <c r="Z75" s="2">
        <f t="shared" si="44"/>
        <v>4.6222222222222218</v>
      </c>
      <c r="AA75">
        <v>1120</v>
      </c>
      <c r="AB75">
        <v>1120</v>
      </c>
      <c r="AC75" s="2">
        <f t="shared" si="45"/>
        <v>2240</v>
      </c>
      <c r="AD75" s="2">
        <f t="shared" si="46"/>
        <v>17920</v>
      </c>
      <c r="AE75" s="2">
        <f t="shared" si="47"/>
        <v>4.9777777777777779</v>
      </c>
      <c r="AF75">
        <v>1280</v>
      </c>
      <c r="AG75">
        <v>1280</v>
      </c>
      <c r="AH75" s="2">
        <f t="shared" si="48"/>
        <v>2560</v>
      </c>
      <c r="AI75" s="2">
        <f t="shared" si="49"/>
        <v>20480</v>
      </c>
      <c r="AJ75" s="2">
        <f t="shared" si="50"/>
        <v>5.6888888888888891</v>
      </c>
      <c r="AK75">
        <v>1040</v>
      </c>
      <c r="AL75">
        <v>1040</v>
      </c>
      <c r="AM75" s="2">
        <f t="shared" si="51"/>
        <v>2080</v>
      </c>
      <c r="AN75" s="2">
        <f t="shared" si="52"/>
        <v>16640</v>
      </c>
      <c r="AO75" s="2">
        <f t="shared" si="53"/>
        <v>4.6222222222222218</v>
      </c>
      <c r="AP75">
        <v>1040</v>
      </c>
      <c r="AQ75">
        <v>1040</v>
      </c>
      <c r="AR75" s="2">
        <f t="shared" si="54"/>
        <v>2080</v>
      </c>
      <c r="AS75" s="2">
        <f t="shared" si="55"/>
        <v>16640</v>
      </c>
      <c r="AT75" s="2">
        <f t="shared" si="56"/>
        <v>4.6222222222222218</v>
      </c>
      <c r="AU75">
        <v>1120</v>
      </c>
      <c r="AV75">
        <v>1120</v>
      </c>
      <c r="AW75" s="2">
        <f t="shared" si="57"/>
        <v>2240</v>
      </c>
      <c r="AX75" s="2">
        <f t="shared" si="58"/>
        <v>17920</v>
      </c>
      <c r="AY75" s="2">
        <f t="shared" si="59"/>
        <v>4.9777777777777779</v>
      </c>
    </row>
    <row r="76" spans="1:51" x14ac:dyDescent="0.3">
      <c r="A76" s="2" t="s">
        <v>80</v>
      </c>
      <c r="B76">
        <v>1200</v>
      </c>
      <c r="C76">
        <v>1200</v>
      </c>
      <c r="D76" s="2">
        <f t="shared" si="30"/>
        <v>2400</v>
      </c>
      <c r="E76" s="2">
        <f t="shared" si="31"/>
        <v>19200</v>
      </c>
      <c r="F76" s="2">
        <f t="shared" si="32"/>
        <v>5.333333333333333</v>
      </c>
      <c r="G76">
        <v>1120</v>
      </c>
      <c r="H76">
        <v>1120</v>
      </c>
      <c r="I76" s="2">
        <f t="shared" si="33"/>
        <v>2240</v>
      </c>
      <c r="J76" s="2">
        <f t="shared" si="34"/>
        <v>17920</v>
      </c>
      <c r="K76" s="2">
        <f t="shared" si="35"/>
        <v>4.9777777777777779</v>
      </c>
      <c r="L76">
        <v>1120</v>
      </c>
      <c r="M76">
        <v>1120</v>
      </c>
      <c r="N76" s="2">
        <f t="shared" si="36"/>
        <v>2240</v>
      </c>
      <c r="O76" s="2">
        <f t="shared" si="37"/>
        <v>17920</v>
      </c>
      <c r="P76" s="2">
        <f t="shared" si="38"/>
        <v>4.9777777777777779</v>
      </c>
      <c r="Q76">
        <v>1040</v>
      </c>
      <c r="R76">
        <v>1040</v>
      </c>
      <c r="S76" s="2">
        <f t="shared" si="39"/>
        <v>2080</v>
      </c>
      <c r="T76" s="2">
        <f t="shared" si="40"/>
        <v>16640</v>
      </c>
      <c r="U76" s="2">
        <f t="shared" si="41"/>
        <v>4.6222222222222218</v>
      </c>
      <c r="V76">
        <v>1120</v>
      </c>
      <c r="W76">
        <v>1120</v>
      </c>
      <c r="X76" s="2">
        <f t="shared" si="42"/>
        <v>2240</v>
      </c>
      <c r="Y76" s="2">
        <f t="shared" si="43"/>
        <v>17920</v>
      </c>
      <c r="Z76" s="2">
        <f t="shared" si="44"/>
        <v>4.9777777777777779</v>
      </c>
      <c r="AA76">
        <v>1040</v>
      </c>
      <c r="AB76">
        <v>1040</v>
      </c>
      <c r="AC76" s="2">
        <f t="shared" si="45"/>
        <v>2080</v>
      </c>
      <c r="AD76" s="2">
        <f t="shared" si="46"/>
        <v>16640</v>
      </c>
      <c r="AE76" s="2">
        <f t="shared" si="47"/>
        <v>4.6222222222222218</v>
      </c>
      <c r="AF76">
        <v>1120</v>
      </c>
      <c r="AG76">
        <v>1120</v>
      </c>
      <c r="AH76" s="2">
        <f t="shared" si="48"/>
        <v>2240</v>
      </c>
      <c r="AI76" s="2">
        <f t="shared" si="49"/>
        <v>17920</v>
      </c>
      <c r="AJ76" s="2">
        <f t="shared" si="50"/>
        <v>4.9777777777777779</v>
      </c>
      <c r="AK76">
        <v>1200</v>
      </c>
      <c r="AL76">
        <v>1200</v>
      </c>
      <c r="AM76" s="2">
        <f t="shared" si="51"/>
        <v>2400</v>
      </c>
      <c r="AN76" s="2">
        <f t="shared" si="52"/>
        <v>19200</v>
      </c>
      <c r="AO76" s="2">
        <f t="shared" si="53"/>
        <v>5.333333333333333</v>
      </c>
      <c r="AP76">
        <v>1040</v>
      </c>
      <c r="AQ76">
        <v>1040</v>
      </c>
      <c r="AR76" s="2">
        <f t="shared" si="54"/>
        <v>2080</v>
      </c>
      <c r="AS76" s="2">
        <f t="shared" si="55"/>
        <v>16640</v>
      </c>
      <c r="AT76" s="2">
        <f t="shared" si="56"/>
        <v>4.6222222222222218</v>
      </c>
      <c r="AU76">
        <v>1280</v>
      </c>
      <c r="AV76">
        <v>1280</v>
      </c>
      <c r="AW76" s="2">
        <f t="shared" si="57"/>
        <v>2560</v>
      </c>
      <c r="AX76" s="2">
        <f t="shared" si="58"/>
        <v>20480</v>
      </c>
      <c r="AY76" s="2">
        <f t="shared" si="59"/>
        <v>5.6888888888888891</v>
      </c>
    </row>
    <row r="77" spans="1:51" x14ac:dyDescent="0.3">
      <c r="A77" s="2" t="s">
        <v>81</v>
      </c>
      <c r="B77">
        <v>1040</v>
      </c>
      <c r="C77">
        <v>1040</v>
      </c>
      <c r="D77" s="2">
        <f t="shared" si="30"/>
        <v>2080</v>
      </c>
      <c r="E77" s="2">
        <f t="shared" si="31"/>
        <v>16640</v>
      </c>
      <c r="F77" s="2">
        <f t="shared" si="32"/>
        <v>4.6222222222222218</v>
      </c>
      <c r="G77">
        <v>960</v>
      </c>
      <c r="H77">
        <v>960</v>
      </c>
      <c r="I77" s="2">
        <f t="shared" si="33"/>
        <v>1920</v>
      </c>
      <c r="J77" s="2">
        <f t="shared" si="34"/>
        <v>15360</v>
      </c>
      <c r="K77" s="2">
        <f t="shared" si="35"/>
        <v>4.2666666666666666</v>
      </c>
      <c r="L77">
        <v>1120</v>
      </c>
      <c r="M77">
        <v>1120</v>
      </c>
      <c r="N77" s="2">
        <f t="shared" si="36"/>
        <v>2240</v>
      </c>
      <c r="O77" s="2">
        <f t="shared" si="37"/>
        <v>17920</v>
      </c>
      <c r="P77" s="2">
        <f t="shared" si="38"/>
        <v>4.9777777777777779</v>
      </c>
      <c r="Q77">
        <v>960</v>
      </c>
      <c r="R77">
        <v>960</v>
      </c>
      <c r="S77" s="2">
        <f t="shared" si="39"/>
        <v>1920</v>
      </c>
      <c r="T77" s="2">
        <f t="shared" si="40"/>
        <v>15360</v>
      </c>
      <c r="U77" s="2">
        <f t="shared" si="41"/>
        <v>4.2666666666666666</v>
      </c>
      <c r="V77">
        <v>1200</v>
      </c>
      <c r="W77">
        <v>1200</v>
      </c>
      <c r="X77" s="2">
        <f t="shared" si="42"/>
        <v>2400</v>
      </c>
      <c r="Y77" s="2">
        <f t="shared" si="43"/>
        <v>19200</v>
      </c>
      <c r="Z77" s="2">
        <f t="shared" si="44"/>
        <v>5.333333333333333</v>
      </c>
      <c r="AA77">
        <v>1120</v>
      </c>
      <c r="AB77">
        <v>1120</v>
      </c>
      <c r="AC77" s="2">
        <f t="shared" si="45"/>
        <v>2240</v>
      </c>
      <c r="AD77" s="2">
        <f t="shared" si="46"/>
        <v>17920</v>
      </c>
      <c r="AE77" s="2">
        <f t="shared" si="47"/>
        <v>4.9777777777777779</v>
      </c>
      <c r="AF77">
        <v>1120</v>
      </c>
      <c r="AG77">
        <v>1120</v>
      </c>
      <c r="AH77" s="2">
        <f t="shared" si="48"/>
        <v>2240</v>
      </c>
      <c r="AI77" s="2">
        <f t="shared" si="49"/>
        <v>17920</v>
      </c>
      <c r="AJ77" s="2">
        <f t="shared" si="50"/>
        <v>4.9777777777777779</v>
      </c>
      <c r="AK77">
        <v>1040</v>
      </c>
      <c r="AL77">
        <v>1040</v>
      </c>
      <c r="AM77" s="2">
        <f t="shared" si="51"/>
        <v>2080</v>
      </c>
      <c r="AN77" s="2">
        <f t="shared" si="52"/>
        <v>16640</v>
      </c>
      <c r="AO77" s="2">
        <f t="shared" si="53"/>
        <v>4.6222222222222218</v>
      </c>
      <c r="AP77">
        <v>880</v>
      </c>
      <c r="AQ77">
        <v>880</v>
      </c>
      <c r="AR77" s="2">
        <f t="shared" si="54"/>
        <v>1760</v>
      </c>
      <c r="AS77" s="2">
        <f t="shared" si="55"/>
        <v>14080</v>
      </c>
      <c r="AT77" s="2">
        <f t="shared" si="56"/>
        <v>3.911111111111111</v>
      </c>
      <c r="AU77">
        <v>1120</v>
      </c>
      <c r="AV77">
        <v>1120</v>
      </c>
      <c r="AW77" s="2">
        <f t="shared" si="57"/>
        <v>2240</v>
      </c>
      <c r="AX77" s="2">
        <f t="shared" si="58"/>
        <v>17920</v>
      </c>
      <c r="AY77" s="2">
        <f t="shared" si="59"/>
        <v>4.9777777777777779</v>
      </c>
    </row>
    <row r="78" spans="1:51" x14ac:dyDescent="0.3">
      <c r="A78" s="2" t="s">
        <v>82</v>
      </c>
      <c r="B78">
        <v>960</v>
      </c>
      <c r="C78">
        <v>960</v>
      </c>
      <c r="D78" s="2">
        <f t="shared" si="30"/>
        <v>1920</v>
      </c>
      <c r="E78" s="2">
        <f t="shared" si="31"/>
        <v>15360</v>
      </c>
      <c r="F78" s="2">
        <f t="shared" si="32"/>
        <v>4.2666666666666666</v>
      </c>
      <c r="G78">
        <v>1040</v>
      </c>
      <c r="H78">
        <v>1040</v>
      </c>
      <c r="I78" s="2">
        <f t="shared" si="33"/>
        <v>2080</v>
      </c>
      <c r="J78" s="2">
        <f t="shared" si="34"/>
        <v>16640</v>
      </c>
      <c r="K78" s="2">
        <f t="shared" si="35"/>
        <v>4.6222222222222218</v>
      </c>
      <c r="L78">
        <v>1280</v>
      </c>
      <c r="M78">
        <v>1280</v>
      </c>
      <c r="N78" s="2">
        <f t="shared" si="36"/>
        <v>2560</v>
      </c>
      <c r="O78" s="2">
        <f t="shared" si="37"/>
        <v>20480</v>
      </c>
      <c r="P78" s="2">
        <f t="shared" si="38"/>
        <v>5.6888888888888891</v>
      </c>
      <c r="Q78">
        <v>1120</v>
      </c>
      <c r="R78">
        <v>1120</v>
      </c>
      <c r="S78" s="2">
        <f t="shared" si="39"/>
        <v>2240</v>
      </c>
      <c r="T78" s="2">
        <f t="shared" si="40"/>
        <v>17920</v>
      </c>
      <c r="U78" s="2">
        <f t="shared" si="41"/>
        <v>4.9777777777777779</v>
      </c>
      <c r="V78">
        <v>1120</v>
      </c>
      <c r="W78">
        <v>1120</v>
      </c>
      <c r="X78" s="2">
        <f t="shared" si="42"/>
        <v>2240</v>
      </c>
      <c r="Y78" s="2">
        <f t="shared" si="43"/>
        <v>17920</v>
      </c>
      <c r="Z78" s="2">
        <f t="shared" si="44"/>
        <v>4.9777777777777779</v>
      </c>
      <c r="AA78">
        <v>1200</v>
      </c>
      <c r="AB78">
        <v>1200</v>
      </c>
      <c r="AC78" s="2">
        <f t="shared" si="45"/>
        <v>2400</v>
      </c>
      <c r="AD78" s="2">
        <f t="shared" si="46"/>
        <v>19200</v>
      </c>
      <c r="AE78" s="2">
        <f t="shared" si="47"/>
        <v>5.333333333333333</v>
      </c>
      <c r="AF78">
        <v>640</v>
      </c>
      <c r="AG78">
        <v>640</v>
      </c>
      <c r="AH78" s="2">
        <f t="shared" si="48"/>
        <v>1280</v>
      </c>
      <c r="AI78" s="2">
        <f t="shared" si="49"/>
        <v>10240</v>
      </c>
      <c r="AJ78" s="2">
        <f t="shared" si="50"/>
        <v>2.8444444444444446</v>
      </c>
      <c r="AK78">
        <v>1120</v>
      </c>
      <c r="AL78">
        <v>1120</v>
      </c>
      <c r="AM78" s="2">
        <f t="shared" si="51"/>
        <v>2240</v>
      </c>
      <c r="AN78" s="2">
        <f t="shared" si="52"/>
        <v>17920</v>
      </c>
      <c r="AO78" s="2">
        <f t="shared" si="53"/>
        <v>4.9777777777777779</v>
      </c>
      <c r="AP78">
        <v>1200</v>
      </c>
      <c r="AQ78">
        <v>1200</v>
      </c>
      <c r="AR78" s="2">
        <f t="shared" si="54"/>
        <v>2400</v>
      </c>
      <c r="AS78" s="2">
        <f t="shared" si="55"/>
        <v>19200</v>
      </c>
      <c r="AT78" s="2">
        <f t="shared" si="56"/>
        <v>5.333333333333333</v>
      </c>
      <c r="AU78">
        <v>1040</v>
      </c>
      <c r="AV78">
        <v>1040</v>
      </c>
      <c r="AW78" s="2">
        <f t="shared" si="57"/>
        <v>2080</v>
      </c>
      <c r="AX78" s="2">
        <f t="shared" si="58"/>
        <v>16640</v>
      </c>
      <c r="AY78" s="2">
        <f t="shared" si="59"/>
        <v>4.6222222222222218</v>
      </c>
    </row>
    <row r="79" spans="1:51" x14ac:dyDescent="0.3">
      <c r="A79" s="2" t="s">
        <v>83</v>
      </c>
      <c r="B79">
        <v>1120</v>
      </c>
      <c r="C79">
        <v>1120</v>
      </c>
      <c r="D79" s="2">
        <f t="shared" si="30"/>
        <v>2240</v>
      </c>
      <c r="E79" s="2">
        <f t="shared" si="31"/>
        <v>17920</v>
      </c>
      <c r="F79" s="2">
        <f t="shared" si="32"/>
        <v>4.9777777777777779</v>
      </c>
      <c r="G79">
        <v>1200</v>
      </c>
      <c r="H79">
        <v>1200</v>
      </c>
      <c r="I79" s="2">
        <f t="shared" si="33"/>
        <v>2400</v>
      </c>
      <c r="J79" s="2">
        <f t="shared" si="34"/>
        <v>19200</v>
      </c>
      <c r="K79" s="2">
        <f t="shared" si="35"/>
        <v>5.333333333333333</v>
      </c>
      <c r="L79">
        <v>1040</v>
      </c>
      <c r="M79">
        <v>1040</v>
      </c>
      <c r="N79" s="2">
        <f t="shared" si="36"/>
        <v>2080</v>
      </c>
      <c r="O79" s="2">
        <f t="shared" si="37"/>
        <v>16640</v>
      </c>
      <c r="P79" s="2">
        <f t="shared" si="38"/>
        <v>4.6222222222222218</v>
      </c>
      <c r="Q79">
        <v>1120</v>
      </c>
      <c r="R79">
        <v>1120</v>
      </c>
      <c r="S79" s="2">
        <f t="shared" si="39"/>
        <v>2240</v>
      </c>
      <c r="T79" s="2">
        <f t="shared" si="40"/>
        <v>17920</v>
      </c>
      <c r="U79" s="2">
        <f t="shared" si="41"/>
        <v>4.9777777777777779</v>
      </c>
      <c r="V79">
        <v>960</v>
      </c>
      <c r="W79">
        <v>960</v>
      </c>
      <c r="X79" s="2">
        <f t="shared" si="42"/>
        <v>1920</v>
      </c>
      <c r="Y79" s="2">
        <f t="shared" si="43"/>
        <v>15360</v>
      </c>
      <c r="Z79" s="2">
        <f t="shared" si="44"/>
        <v>4.2666666666666666</v>
      </c>
      <c r="AA79">
        <v>1040</v>
      </c>
      <c r="AB79">
        <v>1040</v>
      </c>
      <c r="AC79" s="2">
        <f t="shared" si="45"/>
        <v>2080</v>
      </c>
      <c r="AD79" s="2">
        <f t="shared" si="46"/>
        <v>16640</v>
      </c>
      <c r="AE79" s="2">
        <f t="shared" si="47"/>
        <v>4.6222222222222218</v>
      </c>
      <c r="AF79">
        <v>1280</v>
      </c>
      <c r="AG79">
        <v>1280</v>
      </c>
      <c r="AH79" s="2">
        <f t="shared" si="48"/>
        <v>2560</v>
      </c>
      <c r="AI79" s="2">
        <f t="shared" si="49"/>
        <v>20480</v>
      </c>
      <c r="AJ79" s="2">
        <f t="shared" si="50"/>
        <v>5.6888888888888891</v>
      </c>
      <c r="AK79">
        <v>1040</v>
      </c>
      <c r="AL79">
        <v>1040</v>
      </c>
      <c r="AM79" s="2">
        <f t="shared" si="51"/>
        <v>2080</v>
      </c>
      <c r="AN79" s="2">
        <f t="shared" si="52"/>
        <v>16640</v>
      </c>
      <c r="AO79" s="2">
        <f t="shared" si="53"/>
        <v>4.6222222222222218</v>
      </c>
      <c r="AP79">
        <v>1200</v>
      </c>
      <c r="AQ79">
        <v>1200</v>
      </c>
      <c r="AR79" s="2">
        <f t="shared" si="54"/>
        <v>2400</v>
      </c>
      <c r="AS79" s="2">
        <f t="shared" si="55"/>
        <v>19200</v>
      </c>
      <c r="AT79" s="2">
        <f t="shared" si="56"/>
        <v>5.333333333333333</v>
      </c>
      <c r="AU79">
        <v>1040</v>
      </c>
      <c r="AV79">
        <v>1040</v>
      </c>
      <c r="AW79" s="2">
        <f t="shared" si="57"/>
        <v>2080</v>
      </c>
      <c r="AX79" s="2">
        <f t="shared" si="58"/>
        <v>16640</v>
      </c>
      <c r="AY79" s="2">
        <f t="shared" si="59"/>
        <v>4.6222222222222218</v>
      </c>
    </row>
    <row r="80" spans="1:51" x14ac:dyDescent="0.3">
      <c r="A80" s="2" t="s">
        <v>84</v>
      </c>
      <c r="B80">
        <v>1040</v>
      </c>
      <c r="C80">
        <v>1040</v>
      </c>
      <c r="D80" s="2">
        <f t="shared" si="30"/>
        <v>2080</v>
      </c>
      <c r="E80" s="2">
        <f t="shared" si="31"/>
        <v>16640</v>
      </c>
      <c r="F80" s="2">
        <f t="shared" si="32"/>
        <v>4.6222222222222218</v>
      </c>
      <c r="G80">
        <v>1200</v>
      </c>
      <c r="H80">
        <v>1200</v>
      </c>
      <c r="I80" s="2">
        <f t="shared" si="33"/>
        <v>2400</v>
      </c>
      <c r="J80" s="2">
        <f t="shared" si="34"/>
        <v>19200</v>
      </c>
      <c r="K80" s="2">
        <f t="shared" si="35"/>
        <v>5.333333333333333</v>
      </c>
      <c r="L80">
        <v>1120</v>
      </c>
      <c r="M80">
        <v>1120</v>
      </c>
      <c r="N80" s="2">
        <f t="shared" si="36"/>
        <v>2240</v>
      </c>
      <c r="O80" s="2">
        <f t="shared" si="37"/>
        <v>17920</v>
      </c>
      <c r="P80" s="2">
        <f t="shared" si="38"/>
        <v>4.9777777777777779</v>
      </c>
      <c r="Q80">
        <v>1280</v>
      </c>
      <c r="R80">
        <v>1280</v>
      </c>
      <c r="S80" s="2">
        <f t="shared" si="39"/>
        <v>2560</v>
      </c>
      <c r="T80" s="2">
        <f t="shared" si="40"/>
        <v>20480</v>
      </c>
      <c r="U80" s="2">
        <f t="shared" si="41"/>
        <v>5.6888888888888891</v>
      </c>
      <c r="V80">
        <v>1120</v>
      </c>
      <c r="W80">
        <v>1120</v>
      </c>
      <c r="X80" s="2">
        <f t="shared" si="42"/>
        <v>2240</v>
      </c>
      <c r="Y80" s="2">
        <f t="shared" si="43"/>
        <v>17920</v>
      </c>
      <c r="Z80" s="2">
        <f t="shared" si="44"/>
        <v>4.9777777777777779</v>
      </c>
      <c r="AA80">
        <v>960</v>
      </c>
      <c r="AB80">
        <v>960</v>
      </c>
      <c r="AC80" s="2">
        <f t="shared" si="45"/>
        <v>1920</v>
      </c>
      <c r="AD80" s="2">
        <f t="shared" si="46"/>
        <v>15360</v>
      </c>
      <c r="AE80" s="2">
        <f t="shared" si="47"/>
        <v>4.2666666666666666</v>
      </c>
      <c r="AF80">
        <v>1200</v>
      </c>
      <c r="AG80">
        <v>1200</v>
      </c>
      <c r="AH80" s="2">
        <f t="shared" si="48"/>
        <v>2400</v>
      </c>
      <c r="AI80" s="2">
        <f t="shared" si="49"/>
        <v>19200</v>
      </c>
      <c r="AJ80" s="2">
        <f t="shared" si="50"/>
        <v>5.333333333333333</v>
      </c>
      <c r="AK80">
        <v>1040</v>
      </c>
      <c r="AL80">
        <v>1040</v>
      </c>
      <c r="AM80" s="2">
        <f t="shared" si="51"/>
        <v>2080</v>
      </c>
      <c r="AN80" s="2">
        <f t="shared" si="52"/>
        <v>16640</v>
      </c>
      <c r="AO80" s="2">
        <f t="shared" si="53"/>
        <v>4.6222222222222218</v>
      </c>
      <c r="AP80">
        <v>1120</v>
      </c>
      <c r="AQ80">
        <v>1120</v>
      </c>
      <c r="AR80" s="2">
        <f t="shared" si="54"/>
        <v>2240</v>
      </c>
      <c r="AS80" s="2">
        <f t="shared" si="55"/>
        <v>17920</v>
      </c>
      <c r="AT80" s="2">
        <f t="shared" si="56"/>
        <v>4.9777777777777779</v>
      </c>
      <c r="AU80">
        <v>1280</v>
      </c>
      <c r="AV80">
        <v>1280</v>
      </c>
      <c r="AW80" s="2">
        <f t="shared" si="57"/>
        <v>2560</v>
      </c>
      <c r="AX80" s="2">
        <f t="shared" si="58"/>
        <v>20480</v>
      </c>
      <c r="AY80" s="2">
        <f t="shared" si="59"/>
        <v>5.6888888888888891</v>
      </c>
    </row>
    <row r="81" spans="1:51" x14ac:dyDescent="0.3">
      <c r="A81" s="2" t="s">
        <v>85</v>
      </c>
      <c r="B81">
        <v>960</v>
      </c>
      <c r="C81">
        <v>960</v>
      </c>
      <c r="D81" s="2">
        <f t="shared" si="30"/>
        <v>1920</v>
      </c>
      <c r="E81" s="2">
        <f t="shared" si="31"/>
        <v>15360</v>
      </c>
      <c r="F81" s="2">
        <f t="shared" si="32"/>
        <v>4.2666666666666666</v>
      </c>
      <c r="G81">
        <v>1200</v>
      </c>
      <c r="H81">
        <v>1200</v>
      </c>
      <c r="I81" s="2">
        <f t="shared" si="33"/>
        <v>2400</v>
      </c>
      <c r="J81" s="2">
        <f t="shared" si="34"/>
        <v>19200</v>
      </c>
      <c r="K81" s="2">
        <f t="shared" si="35"/>
        <v>5.333333333333333</v>
      </c>
      <c r="L81">
        <v>1360</v>
      </c>
      <c r="M81">
        <v>1360</v>
      </c>
      <c r="N81" s="2">
        <f t="shared" si="36"/>
        <v>2720</v>
      </c>
      <c r="O81" s="2">
        <f t="shared" si="37"/>
        <v>21760</v>
      </c>
      <c r="P81" s="2">
        <f t="shared" si="38"/>
        <v>6.0444444444444443</v>
      </c>
      <c r="Q81">
        <v>1200</v>
      </c>
      <c r="R81">
        <v>1200</v>
      </c>
      <c r="S81" s="2">
        <f t="shared" si="39"/>
        <v>2400</v>
      </c>
      <c r="T81" s="2">
        <f t="shared" si="40"/>
        <v>19200</v>
      </c>
      <c r="U81" s="2">
        <f t="shared" si="41"/>
        <v>5.333333333333333</v>
      </c>
      <c r="V81">
        <v>1200</v>
      </c>
      <c r="W81">
        <v>1200</v>
      </c>
      <c r="X81" s="2">
        <f t="shared" si="42"/>
        <v>2400</v>
      </c>
      <c r="Y81" s="2">
        <f t="shared" si="43"/>
        <v>19200</v>
      </c>
      <c r="Z81" s="2">
        <f t="shared" si="44"/>
        <v>5.333333333333333</v>
      </c>
      <c r="AA81">
        <v>960</v>
      </c>
      <c r="AB81">
        <v>960</v>
      </c>
      <c r="AC81" s="2">
        <f t="shared" si="45"/>
        <v>1920</v>
      </c>
      <c r="AD81" s="2">
        <f t="shared" si="46"/>
        <v>15360</v>
      </c>
      <c r="AE81" s="2">
        <f t="shared" si="47"/>
        <v>4.2666666666666666</v>
      </c>
      <c r="AF81">
        <v>800</v>
      </c>
      <c r="AG81">
        <v>800</v>
      </c>
      <c r="AH81" s="2">
        <f t="shared" si="48"/>
        <v>1600</v>
      </c>
      <c r="AI81" s="2">
        <f t="shared" si="49"/>
        <v>12800</v>
      </c>
      <c r="AJ81" s="2">
        <f t="shared" si="50"/>
        <v>3.5555555555555554</v>
      </c>
      <c r="AK81">
        <v>960</v>
      </c>
      <c r="AL81">
        <v>960</v>
      </c>
      <c r="AM81" s="2">
        <f t="shared" si="51"/>
        <v>1920</v>
      </c>
      <c r="AN81" s="2">
        <f t="shared" si="52"/>
        <v>15360</v>
      </c>
      <c r="AO81" s="2">
        <f t="shared" si="53"/>
        <v>4.2666666666666666</v>
      </c>
      <c r="AP81">
        <v>1120</v>
      </c>
      <c r="AQ81">
        <v>1120</v>
      </c>
      <c r="AR81" s="2">
        <f t="shared" si="54"/>
        <v>2240</v>
      </c>
      <c r="AS81" s="2">
        <f t="shared" si="55"/>
        <v>17920</v>
      </c>
      <c r="AT81" s="2">
        <f t="shared" si="56"/>
        <v>4.9777777777777779</v>
      </c>
      <c r="AU81">
        <v>1120</v>
      </c>
      <c r="AV81">
        <v>1120</v>
      </c>
      <c r="AW81" s="2">
        <f t="shared" si="57"/>
        <v>2240</v>
      </c>
      <c r="AX81" s="2">
        <f t="shared" si="58"/>
        <v>17920</v>
      </c>
      <c r="AY81" s="2">
        <f t="shared" si="59"/>
        <v>4.9777777777777779</v>
      </c>
    </row>
    <row r="82" spans="1:51" x14ac:dyDescent="0.3">
      <c r="A82" s="2" t="s">
        <v>86</v>
      </c>
      <c r="B82">
        <v>800</v>
      </c>
      <c r="C82">
        <v>800</v>
      </c>
      <c r="D82" s="2">
        <f t="shared" si="30"/>
        <v>1600</v>
      </c>
      <c r="E82" s="2">
        <f t="shared" si="31"/>
        <v>12800</v>
      </c>
      <c r="F82" s="2">
        <f t="shared" si="32"/>
        <v>3.5555555555555554</v>
      </c>
      <c r="G82">
        <v>1040</v>
      </c>
      <c r="H82">
        <v>1040</v>
      </c>
      <c r="I82" s="2">
        <f t="shared" si="33"/>
        <v>2080</v>
      </c>
      <c r="J82" s="2">
        <f t="shared" si="34"/>
        <v>16640</v>
      </c>
      <c r="K82" s="2">
        <f t="shared" si="35"/>
        <v>4.6222222222222218</v>
      </c>
      <c r="L82">
        <v>960</v>
      </c>
      <c r="M82">
        <v>960</v>
      </c>
      <c r="N82" s="2">
        <f t="shared" si="36"/>
        <v>1920</v>
      </c>
      <c r="O82" s="2">
        <f t="shared" si="37"/>
        <v>15360</v>
      </c>
      <c r="P82" s="2">
        <f t="shared" si="38"/>
        <v>4.2666666666666666</v>
      </c>
      <c r="Q82">
        <v>880</v>
      </c>
      <c r="R82">
        <v>880</v>
      </c>
      <c r="S82" s="2">
        <f t="shared" si="39"/>
        <v>1760</v>
      </c>
      <c r="T82" s="2">
        <f t="shared" si="40"/>
        <v>14080</v>
      </c>
      <c r="U82" s="2">
        <f t="shared" si="41"/>
        <v>3.911111111111111</v>
      </c>
      <c r="V82">
        <v>1120</v>
      </c>
      <c r="W82">
        <v>1120</v>
      </c>
      <c r="X82" s="2">
        <f t="shared" si="42"/>
        <v>2240</v>
      </c>
      <c r="Y82" s="2">
        <f t="shared" si="43"/>
        <v>17920</v>
      </c>
      <c r="Z82" s="2">
        <f t="shared" si="44"/>
        <v>4.9777777777777779</v>
      </c>
      <c r="AA82">
        <v>1040</v>
      </c>
      <c r="AB82">
        <v>1040</v>
      </c>
      <c r="AC82" s="2">
        <f t="shared" si="45"/>
        <v>2080</v>
      </c>
      <c r="AD82" s="2">
        <f t="shared" si="46"/>
        <v>16640</v>
      </c>
      <c r="AE82" s="2">
        <f t="shared" si="47"/>
        <v>4.6222222222222218</v>
      </c>
      <c r="AF82">
        <v>960</v>
      </c>
      <c r="AG82">
        <v>960</v>
      </c>
      <c r="AH82" s="2">
        <f t="shared" si="48"/>
        <v>1920</v>
      </c>
      <c r="AI82" s="2">
        <f t="shared" si="49"/>
        <v>15360</v>
      </c>
      <c r="AJ82" s="2">
        <f t="shared" si="50"/>
        <v>4.2666666666666666</v>
      </c>
      <c r="AK82">
        <v>960</v>
      </c>
      <c r="AL82">
        <v>960</v>
      </c>
      <c r="AM82" s="2">
        <f t="shared" si="51"/>
        <v>1920</v>
      </c>
      <c r="AN82" s="2">
        <f t="shared" si="52"/>
        <v>15360</v>
      </c>
      <c r="AO82" s="2">
        <f t="shared" si="53"/>
        <v>4.2666666666666666</v>
      </c>
      <c r="AP82">
        <v>1200</v>
      </c>
      <c r="AQ82">
        <v>1200</v>
      </c>
      <c r="AR82" s="2">
        <f t="shared" si="54"/>
        <v>2400</v>
      </c>
      <c r="AS82" s="2">
        <f t="shared" si="55"/>
        <v>19200</v>
      </c>
      <c r="AT82" s="2">
        <f t="shared" si="56"/>
        <v>5.333333333333333</v>
      </c>
      <c r="AU82">
        <v>960</v>
      </c>
      <c r="AV82">
        <v>960</v>
      </c>
      <c r="AW82" s="2">
        <f t="shared" si="57"/>
        <v>1920</v>
      </c>
      <c r="AX82" s="2">
        <f t="shared" si="58"/>
        <v>15360</v>
      </c>
      <c r="AY82" s="2">
        <f t="shared" si="59"/>
        <v>4.2666666666666666</v>
      </c>
    </row>
    <row r="83" spans="1:51" x14ac:dyDescent="0.3">
      <c r="A83" s="2" t="s">
        <v>87</v>
      </c>
      <c r="B83">
        <v>1120</v>
      </c>
      <c r="C83">
        <v>1120</v>
      </c>
      <c r="D83" s="2">
        <f t="shared" si="30"/>
        <v>2240</v>
      </c>
      <c r="E83" s="2">
        <f t="shared" si="31"/>
        <v>17920</v>
      </c>
      <c r="F83" s="2">
        <f t="shared" si="32"/>
        <v>4.9777777777777779</v>
      </c>
      <c r="G83">
        <v>960</v>
      </c>
      <c r="H83">
        <v>960</v>
      </c>
      <c r="I83" s="2">
        <f t="shared" si="33"/>
        <v>1920</v>
      </c>
      <c r="J83" s="2">
        <f t="shared" si="34"/>
        <v>15360</v>
      </c>
      <c r="K83" s="2">
        <f t="shared" si="35"/>
        <v>4.2666666666666666</v>
      </c>
      <c r="L83">
        <v>1040</v>
      </c>
      <c r="M83">
        <v>1040</v>
      </c>
      <c r="N83" s="2">
        <f t="shared" si="36"/>
        <v>2080</v>
      </c>
      <c r="O83" s="2">
        <f t="shared" si="37"/>
        <v>16640</v>
      </c>
      <c r="P83" s="2">
        <f t="shared" si="38"/>
        <v>4.6222222222222218</v>
      </c>
      <c r="Q83">
        <v>960</v>
      </c>
      <c r="R83">
        <v>960</v>
      </c>
      <c r="S83" s="2">
        <f t="shared" si="39"/>
        <v>1920</v>
      </c>
      <c r="T83" s="2">
        <f t="shared" si="40"/>
        <v>15360</v>
      </c>
      <c r="U83" s="2">
        <f t="shared" si="41"/>
        <v>4.2666666666666666</v>
      </c>
      <c r="V83">
        <v>1120</v>
      </c>
      <c r="W83">
        <v>1120</v>
      </c>
      <c r="X83" s="2">
        <f t="shared" si="42"/>
        <v>2240</v>
      </c>
      <c r="Y83" s="2">
        <f t="shared" si="43"/>
        <v>17920</v>
      </c>
      <c r="Z83" s="2">
        <f t="shared" si="44"/>
        <v>4.9777777777777779</v>
      </c>
      <c r="AA83">
        <v>960</v>
      </c>
      <c r="AB83">
        <v>960</v>
      </c>
      <c r="AC83" s="2">
        <f t="shared" si="45"/>
        <v>1920</v>
      </c>
      <c r="AD83" s="2">
        <f t="shared" si="46"/>
        <v>15360</v>
      </c>
      <c r="AE83" s="2">
        <f t="shared" si="47"/>
        <v>4.2666666666666666</v>
      </c>
      <c r="AF83">
        <v>1120</v>
      </c>
      <c r="AG83">
        <v>1120</v>
      </c>
      <c r="AH83" s="2">
        <f t="shared" si="48"/>
        <v>2240</v>
      </c>
      <c r="AI83" s="2">
        <f t="shared" si="49"/>
        <v>17920</v>
      </c>
      <c r="AJ83" s="2">
        <f t="shared" si="50"/>
        <v>4.9777777777777779</v>
      </c>
      <c r="AK83">
        <v>960</v>
      </c>
      <c r="AL83">
        <v>960</v>
      </c>
      <c r="AM83" s="2">
        <f t="shared" si="51"/>
        <v>1920</v>
      </c>
      <c r="AN83" s="2">
        <f t="shared" si="52"/>
        <v>15360</v>
      </c>
      <c r="AO83" s="2">
        <f t="shared" si="53"/>
        <v>4.2666666666666666</v>
      </c>
      <c r="AP83">
        <v>1040</v>
      </c>
      <c r="AQ83">
        <v>1040</v>
      </c>
      <c r="AR83" s="2">
        <f t="shared" si="54"/>
        <v>2080</v>
      </c>
      <c r="AS83" s="2">
        <f t="shared" si="55"/>
        <v>16640</v>
      </c>
      <c r="AT83" s="2">
        <f t="shared" si="56"/>
        <v>4.6222222222222218</v>
      </c>
      <c r="AU83">
        <v>1040</v>
      </c>
      <c r="AV83">
        <v>1040</v>
      </c>
      <c r="AW83" s="2">
        <f t="shared" si="57"/>
        <v>2080</v>
      </c>
      <c r="AX83" s="2">
        <f t="shared" si="58"/>
        <v>16640</v>
      </c>
      <c r="AY83" s="2">
        <f t="shared" si="59"/>
        <v>4.6222222222222218</v>
      </c>
    </row>
    <row r="84" spans="1:51" x14ac:dyDescent="0.3">
      <c r="A84" s="2" t="s">
        <v>88</v>
      </c>
      <c r="B84">
        <v>1040</v>
      </c>
      <c r="C84">
        <v>1040</v>
      </c>
      <c r="D84" s="2">
        <f t="shared" si="30"/>
        <v>2080</v>
      </c>
      <c r="E84" s="2">
        <f t="shared" si="31"/>
        <v>16640</v>
      </c>
      <c r="F84" s="2">
        <f t="shared" si="32"/>
        <v>4.6222222222222218</v>
      </c>
      <c r="G84">
        <v>1200</v>
      </c>
      <c r="H84">
        <v>1200</v>
      </c>
      <c r="I84" s="2">
        <f t="shared" si="33"/>
        <v>2400</v>
      </c>
      <c r="J84" s="2">
        <f t="shared" si="34"/>
        <v>19200</v>
      </c>
      <c r="K84" s="2">
        <f t="shared" si="35"/>
        <v>5.333333333333333</v>
      </c>
      <c r="L84">
        <v>1200</v>
      </c>
      <c r="M84">
        <v>1200</v>
      </c>
      <c r="N84" s="2">
        <f t="shared" si="36"/>
        <v>2400</v>
      </c>
      <c r="O84" s="2">
        <f t="shared" si="37"/>
        <v>19200</v>
      </c>
      <c r="P84" s="2">
        <f t="shared" si="38"/>
        <v>5.333333333333333</v>
      </c>
      <c r="Q84">
        <v>960</v>
      </c>
      <c r="R84">
        <v>960</v>
      </c>
      <c r="S84" s="2">
        <f t="shared" si="39"/>
        <v>1920</v>
      </c>
      <c r="T84" s="2">
        <f t="shared" si="40"/>
        <v>15360</v>
      </c>
      <c r="U84" s="2">
        <f t="shared" si="41"/>
        <v>4.2666666666666666</v>
      </c>
      <c r="V84">
        <v>1040</v>
      </c>
      <c r="W84">
        <v>1040</v>
      </c>
      <c r="X84" s="2">
        <f t="shared" si="42"/>
        <v>2080</v>
      </c>
      <c r="Y84" s="2">
        <f t="shared" si="43"/>
        <v>16640</v>
      </c>
      <c r="Z84" s="2">
        <f t="shared" si="44"/>
        <v>4.6222222222222218</v>
      </c>
      <c r="AA84">
        <v>1200</v>
      </c>
      <c r="AB84">
        <v>1200</v>
      </c>
      <c r="AC84" s="2">
        <f t="shared" si="45"/>
        <v>2400</v>
      </c>
      <c r="AD84" s="2">
        <f t="shared" si="46"/>
        <v>19200</v>
      </c>
      <c r="AE84" s="2">
        <f t="shared" si="47"/>
        <v>5.333333333333333</v>
      </c>
      <c r="AF84">
        <v>1120</v>
      </c>
      <c r="AG84">
        <v>1120</v>
      </c>
      <c r="AH84" s="2">
        <f t="shared" si="48"/>
        <v>2240</v>
      </c>
      <c r="AI84" s="2">
        <f t="shared" si="49"/>
        <v>17920</v>
      </c>
      <c r="AJ84" s="2">
        <f t="shared" si="50"/>
        <v>4.9777777777777779</v>
      </c>
      <c r="AK84">
        <v>1200</v>
      </c>
      <c r="AL84">
        <v>1200</v>
      </c>
      <c r="AM84" s="2">
        <f t="shared" si="51"/>
        <v>2400</v>
      </c>
      <c r="AN84" s="2">
        <f t="shared" si="52"/>
        <v>19200</v>
      </c>
      <c r="AO84" s="2">
        <f t="shared" si="53"/>
        <v>5.333333333333333</v>
      </c>
      <c r="AP84">
        <v>960</v>
      </c>
      <c r="AQ84">
        <v>960</v>
      </c>
      <c r="AR84" s="2">
        <f t="shared" si="54"/>
        <v>1920</v>
      </c>
      <c r="AS84" s="2">
        <f t="shared" si="55"/>
        <v>15360</v>
      </c>
      <c r="AT84" s="2">
        <f t="shared" si="56"/>
        <v>4.2666666666666666</v>
      </c>
      <c r="AU84">
        <v>1280</v>
      </c>
      <c r="AV84">
        <v>1280</v>
      </c>
      <c r="AW84" s="2">
        <f t="shared" si="57"/>
        <v>2560</v>
      </c>
      <c r="AX84" s="2">
        <f t="shared" si="58"/>
        <v>20480</v>
      </c>
      <c r="AY84" s="2">
        <f t="shared" si="59"/>
        <v>5.6888888888888891</v>
      </c>
    </row>
    <row r="85" spans="1:51" x14ac:dyDescent="0.3">
      <c r="A85" s="2" t="s">
        <v>89</v>
      </c>
      <c r="B85">
        <v>1120</v>
      </c>
      <c r="C85">
        <v>1120</v>
      </c>
      <c r="D85" s="2">
        <f t="shared" si="30"/>
        <v>2240</v>
      </c>
      <c r="E85" s="2">
        <f t="shared" si="31"/>
        <v>17920</v>
      </c>
      <c r="F85" s="2">
        <f t="shared" si="32"/>
        <v>4.9777777777777779</v>
      </c>
      <c r="G85">
        <v>880</v>
      </c>
      <c r="H85">
        <v>880</v>
      </c>
      <c r="I85" s="2">
        <f t="shared" si="33"/>
        <v>1760</v>
      </c>
      <c r="J85" s="2">
        <f t="shared" si="34"/>
        <v>14080</v>
      </c>
      <c r="K85" s="2">
        <f t="shared" si="35"/>
        <v>3.911111111111111</v>
      </c>
      <c r="L85">
        <v>1120</v>
      </c>
      <c r="M85">
        <v>1120</v>
      </c>
      <c r="N85" s="2">
        <f t="shared" si="36"/>
        <v>2240</v>
      </c>
      <c r="O85" s="2">
        <f t="shared" si="37"/>
        <v>17920</v>
      </c>
      <c r="P85" s="2">
        <f t="shared" si="38"/>
        <v>4.9777777777777779</v>
      </c>
      <c r="Q85">
        <v>1280</v>
      </c>
      <c r="R85">
        <v>1280</v>
      </c>
      <c r="S85" s="2">
        <f t="shared" si="39"/>
        <v>2560</v>
      </c>
      <c r="T85" s="2">
        <f t="shared" si="40"/>
        <v>20480</v>
      </c>
      <c r="U85" s="2">
        <f t="shared" si="41"/>
        <v>5.6888888888888891</v>
      </c>
      <c r="V85">
        <v>1120</v>
      </c>
      <c r="W85">
        <v>1120</v>
      </c>
      <c r="X85" s="2">
        <f t="shared" si="42"/>
        <v>2240</v>
      </c>
      <c r="Y85" s="2">
        <f t="shared" si="43"/>
        <v>17920</v>
      </c>
      <c r="Z85" s="2">
        <f t="shared" si="44"/>
        <v>4.9777777777777779</v>
      </c>
      <c r="AA85">
        <v>1040</v>
      </c>
      <c r="AB85">
        <v>1040</v>
      </c>
      <c r="AC85" s="2">
        <f t="shared" si="45"/>
        <v>2080</v>
      </c>
      <c r="AD85" s="2">
        <f t="shared" si="46"/>
        <v>16640</v>
      </c>
      <c r="AE85" s="2">
        <f t="shared" si="47"/>
        <v>4.6222222222222218</v>
      </c>
      <c r="AF85">
        <v>1200</v>
      </c>
      <c r="AG85">
        <v>1200</v>
      </c>
      <c r="AH85" s="2">
        <f t="shared" si="48"/>
        <v>2400</v>
      </c>
      <c r="AI85" s="2">
        <f t="shared" si="49"/>
        <v>19200</v>
      </c>
      <c r="AJ85" s="2">
        <f t="shared" si="50"/>
        <v>5.333333333333333</v>
      </c>
      <c r="AK85">
        <v>1280</v>
      </c>
      <c r="AL85">
        <v>1280</v>
      </c>
      <c r="AM85" s="2">
        <f t="shared" si="51"/>
        <v>2560</v>
      </c>
      <c r="AN85" s="2">
        <f t="shared" si="52"/>
        <v>20480</v>
      </c>
      <c r="AO85" s="2">
        <f t="shared" si="53"/>
        <v>5.6888888888888891</v>
      </c>
      <c r="AP85">
        <v>1040</v>
      </c>
      <c r="AQ85">
        <v>1040</v>
      </c>
      <c r="AR85" s="2">
        <f t="shared" si="54"/>
        <v>2080</v>
      </c>
      <c r="AS85" s="2">
        <f t="shared" si="55"/>
        <v>16640</v>
      </c>
      <c r="AT85" s="2">
        <f t="shared" si="56"/>
        <v>4.6222222222222218</v>
      </c>
      <c r="AU85">
        <v>1200</v>
      </c>
      <c r="AV85">
        <v>1200</v>
      </c>
      <c r="AW85" s="2">
        <f t="shared" si="57"/>
        <v>2400</v>
      </c>
      <c r="AX85" s="2">
        <f t="shared" si="58"/>
        <v>19200</v>
      </c>
      <c r="AY85" s="2">
        <f t="shared" si="59"/>
        <v>5.333333333333333</v>
      </c>
    </row>
    <row r="86" spans="1:51" x14ac:dyDescent="0.3">
      <c r="A86" s="2" t="s">
        <v>90</v>
      </c>
      <c r="B86">
        <v>960</v>
      </c>
      <c r="C86">
        <v>960</v>
      </c>
      <c r="D86" s="2">
        <f t="shared" si="30"/>
        <v>1920</v>
      </c>
      <c r="E86" s="2">
        <f t="shared" si="31"/>
        <v>15360</v>
      </c>
      <c r="F86" s="2">
        <f t="shared" si="32"/>
        <v>4.2666666666666666</v>
      </c>
      <c r="G86">
        <v>1120</v>
      </c>
      <c r="H86">
        <v>1120</v>
      </c>
      <c r="I86" s="2">
        <f t="shared" si="33"/>
        <v>2240</v>
      </c>
      <c r="J86" s="2">
        <f t="shared" si="34"/>
        <v>17920</v>
      </c>
      <c r="K86" s="2">
        <f t="shared" si="35"/>
        <v>4.9777777777777779</v>
      </c>
      <c r="L86">
        <v>1120</v>
      </c>
      <c r="M86">
        <v>1120</v>
      </c>
      <c r="N86" s="2">
        <f t="shared" si="36"/>
        <v>2240</v>
      </c>
      <c r="O86" s="2">
        <f t="shared" si="37"/>
        <v>17920</v>
      </c>
      <c r="P86" s="2">
        <f t="shared" si="38"/>
        <v>4.9777777777777779</v>
      </c>
      <c r="Q86">
        <v>1120</v>
      </c>
      <c r="R86">
        <v>1120</v>
      </c>
      <c r="S86" s="2">
        <f t="shared" si="39"/>
        <v>2240</v>
      </c>
      <c r="T86" s="2">
        <f t="shared" si="40"/>
        <v>17920</v>
      </c>
      <c r="U86" s="2">
        <f t="shared" si="41"/>
        <v>4.9777777777777779</v>
      </c>
      <c r="V86">
        <v>960</v>
      </c>
      <c r="W86">
        <v>960</v>
      </c>
      <c r="X86" s="2">
        <f t="shared" si="42"/>
        <v>1920</v>
      </c>
      <c r="Y86" s="2">
        <f t="shared" si="43"/>
        <v>15360</v>
      </c>
      <c r="Z86" s="2">
        <f t="shared" si="44"/>
        <v>4.2666666666666666</v>
      </c>
      <c r="AA86">
        <v>1280</v>
      </c>
      <c r="AB86">
        <v>1280</v>
      </c>
      <c r="AC86" s="2">
        <f t="shared" si="45"/>
        <v>2560</v>
      </c>
      <c r="AD86" s="2">
        <f t="shared" si="46"/>
        <v>20480</v>
      </c>
      <c r="AE86" s="2">
        <f t="shared" si="47"/>
        <v>5.6888888888888891</v>
      </c>
      <c r="AF86">
        <v>1040</v>
      </c>
      <c r="AG86">
        <v>1040</v>
      </c>
      <c r="AH86" s="2">
        <f t="shared" si="48"/>
        <v>2080</v>
      </c>
      <c r="AI86" s="2">
        <f t="shared" si="49"/>
        <v>16640</v>
      </c>
      <c r="AJ86" s="2">
        <f t="shared" si="50"/>
        <v>4.6222222222222218</v>
      </c>
      <c r="AK86">
        <v>1040</v>
      </c>
      <c r="AL86">
        <v>1040</v>
      </c>
      <c r="AM86" s="2">
        <f t="shared" si="51"/>
        <v>2080</v>
      </c>
      <c r="AN86" s="2">
        <f t="shared" si="52"/>
        <v>16640</v>
      </c>
      <c r="AO86" s="2">
        <f t="shared" si="53"/>
        <v>4.6222222222222218</v>
      </c>
      <c r="AP86">
        <v>880</v>
      </c>
      <c r="AQ86">
        <v>880</v>
      </c>
      <c r="AR86" s="2">
        <f t="shared" si="54"/>
        <v>1760</v>
      </c>
      <c r="AS86" s="2">
        <f t="shared" si="55"/>
        <v>14080</v>
      </c>
      <c r="AT86" s="2">
        <f t="shared" si="56"/>
        <v>3.911111111111111</v>
      </c>
      <c r="AU86">
        <v>960</v>
      </c>
      <c r="AV86">
        <v>960</v>
      </c>
      <c r="AW86" s="2">
        <f t="shared" si="57"/>
        <v>1920</v>
      </c>
      <c r="AX86" s="2">
        <f t="shared" si="58"/>
        <v>15360</v>
      </c>
      <c r="AY86" s="2">
        <f t="shared" si="59"/>
        <v>4.2666666666666666</v>
      </c>
    </row>
    <row r="87" spans="1:51" x14ac:dyDescent="0.3">
      <c r="A87" s="2" t="s">
        <v>91</v>
      </c>
      <c r="B87">
        <v>1120</v>
      </c>
      <c r="C87">
        <v>1120</v>
      </c>
      <c r="D87" s="2">
        <f t="shared" si="30"/>
        <v>2240</v>
      </c>
      <c r="E87" s="2">
        <f t="shared" si="31"/>
        <v>17920</v>
      </c>
      <c r="F87" s="2">
        <f t="shared" si="32"/>
        <v>4.9777777777777779</v>
      </c>
      <c r="G87">
        <v>720</v>
      </c>
      <c r="H87">
        <v>720</v>
      </c>
      <c r="I87" s="2">
        <f t="shared" si="33"/>
        <v>1440</v>
      </c>
      <c r="J87" s="2">
        <f t="shared" si="34"/>
        <v>11520</v>
      </c>
      <c r="K87" s="2">
        <f t="shared" si="35"/>
        <v>3.2</v>
      </c>
      <c r="L87">
        <v>1120</v>
      </c>
      <c r="M87">
        <v>1120</v>
      </c>
      <c r="N87" s="2">
        <f t="shared" si="36"/>
        <v>2240</v>
      </c>
      <c r="O87" s="2">
        <f t="shared" si="37"/>
        <v>17920</v>
      </c>
      <c r="P87" s="2">
        <f t="shared" si="38"/>
        <v>4.9777777777777779</v>
      </c>
      <c r="Q87">
        <v>1040</v>
      </c>
      <c r="R87">
        <v>1040</v>
      </c>
      <c r="S87" s="2">
        <f t="shared" si="39"/>
        <v>2080</v>
      </c>
      <c r="T87" s="2">
        <f t="shared" si="40"/>
        <v>16640</v>
      </c>
      <c r="U87" s="2">
        <f t="shared" si="41"/>
        <v>4.6222222222222218</v>
      </c>
      <c r="V87">
        <v>1200</v>
      </c>
      <c r="W87">
        <v>1200</v>
      </c>
      <c r="X87" s="2">
        <f t="shared" si="42"/>
        <v>2400</v>
      </c>
      <c r="Y87" s="2">
        <f t="shared" si="43"/>
        <v>19200</v>
      </c>
      <c r="Z87" s="2">
        <f t="shared" si="44"/>
        <v>5.333333333333333</v>
      </c>
      <c r="AA87">
        <v>1040</v>
      </c>
      <c r="AB87">
        <v>1040</v>
      </c>
      <c r="AC87" s="2">
        <f t="shared" si="45"/>
        <v>2080</v>
      </c>
      <c r="AD87" s="2">
        <f t="shared" si="46"/>
        <v>16640</v>
      </c>
      <c r="AE87" s="2">
        <f t="shared" si="47"/>
        <v>4.6222222222222218</v>
      </c>
      <c r="AF87">
        <v>1120</v>
      </c>
      <c r="AG87">
        <v>1120</v>
      </c>
      <c r="AH87" s="2">
        <f t="shared" si="48"/>
        <v>2240</v>
      </c>
      <c r="AI87" s="2">
        <f t="shared" si="49"/>
        <v>17920</v>
      </c>
      <c r="AJ87" s="2">
        <f t="shared" si="50"/>
        <v>4.9777777777777779</v>
      </c>
      <c r="AK87">
        <v>960</v>
      </c>
      <c r="AL87">
        <v>960</v>
      </c>
      <c r="AM87" s="2">
        <f t="shared" si="51"/>
        <v>1920</v>
      </c>
      <c r="AN87" s="2">
        <f t="shared" si="52"/>
        <v>15360</v>
      </c>
      <c r="AO87" s="2">
        <f t="shared" si="53"/>
        <v>4.2666666666666666</v>
      </c>
      <c r="AP87">
        <v>1280</v>
      </c>
      <c r="AQ87">
        <v>1280</v>
      </c>
      <c r="AR87" s="2">
        <f t="shared" si="54"/>
        <v>2560</v>
      </c>
      <c r="AS87" s="2">
        <f t="shared" si="55"/>
        <v>20480</v>
      </c>
      <c r="AT87" s="2">
        <f t="shared" si="56"/>
        <v>5.6888888888888891</v>
      </c>
      <c r="AU87">
        <v>1120</v>
      </c>
      <c r="AV87">
        <v>1120</v>
      </c>
      <c r="AW87" s="2">
        <f t="shared" si="57"/>
        <v>2240</v>
      </c>
      <c r="AX87" s="2">
        <f t="shared" si="58"/>
        <v>17920</v>
      </c>
      <c r="AY87" s="2">
        <f t="shared" si="59"/>
        <v>4.9777777777777779</v>
      </c>
    </row>
    <row r="88" spans="1:51" x14ac:dyDescent="0.3">
      <c r="A88" s="2" t="s">
        <v>92</v>
      </c>
      <c r="B88">
        <v>1120</v>
      </c>
      <c r="C88">
        <v>1120</v>
      </c>
      <c r="D88" s="2">
        <f t="shared" si="30"/>
        <v>2240</v>
      </c>
      <c r="E88" s="2">
        <f t="shared" si="31"/>
        <v>17920</v>
      </c>
      <c r="F88" s="2">
        <f t="shared" si="32"/>
        <v>4.9777777777777779</v>
      </c>
      <c r="G88">
        <v>1040</v>
      </c>
      <c r="H88">
        <v>1040</v>
      </c>
      <c r="I88" s="2">
        <f t="shared" si="33"/>
        <v>2080</v>
      </c>
      <c r="J88" s="2">
        <f t="shared" si="34"/>
        <v>16640</v>
      </c>
      <c r="K88" s="2">
        <f t="shared" si="35"/>
        <v>4.6222222222222218</v>
      </c>
      <c r="L88">
        <v>1280</v>
      </c>
      <c r="M88">
        <v>1280</v>
      </c>
      <c r="N88" s="2">
        <f t="shared" si="36"/>
        <v>2560</v>
      </c>
      <c r="O88" s="2">
        <f t="shared" si="37"/>
        <v>20480</v>
      </c>
      <c r="P88" s="2">
        <f t="shared" si="38"/>
        <v>5.6888888888888891</v>
      </c>
      <c r="Q88">
        <v>1200</v>
      </c>
      <c r="R88">
        <v>1200</v>
      </c>
      <c r="S88" s="2">
        <f t="shared" si="39"/>
        <v>2400</v>
      </c>
      <c r="T88" s="2">
        <f t="shared" si="40"/>
        <v>19200</v>
      </c>
      <c r="U88" s="2">
        <f t="shared" si="41"/>
        <v>5.333333333333333</v>
      </c>
      <c r="V88">
        <v>1040</v>
      </c>
      <c r="W88">
        <v>1040</v>
      </c>
      <c r="X88" s="2">
        <f t="shared" si="42"/>
        <v>2080</v>
      </c>
      <c r="Y88" s="2">
        <f t="shared" si="43"/>
        <v>16640</v>
      </c>
      <c r="Z88" s="2">
        <f t="shared" si="44"/>
        <v>4.6222222222222218</v>
      </c>
      <c r="AA88">
        <v>1200</v>
      </c>
      <c r="AB88">
        <v>1200</v>
      </c>
      <c r="AC88" s="2">
        <f t="shared" si="45"/>
        <v>2400</v>
      </c>
      <c r="AD88" s="2">
        <f t="shared" si="46"/>
        <v>19200</v>
      </c>
      <c r="AE88" s="2">
        <f t="shared" si="47"/>
        <v>5.333333333333333</v>
      </c>
      <c r="AF88">
        <v>1120</v>
      </c>
      <c r="AG88">
        <v>1120</v>
      </c>
      <c r="AH88" s="2">
        <f t="shared" si="48"/>
        <v>2240</v>
      </c>
      <c r="AI88" s="2">
        <f t="shared" si="49"/>
        <v>17920</v>
      </c>
      <c r="AJ88" s="2">
        <f t="shared" si="50"/>
        <v>4.9777777777777779</v>
      </c>
      <c r="AK88">
        <v>1040</v>
      </c>
      <c r="AL88">
        <v>1040</v>
      </c>
      <c r="AM88" s="2">
        <f t="shared" si="51"/>
        <v>2080</v>
      </c>
      <c r="AN88" s="2">
        <f t="shared" si="52"/>
        <v>16640</v>
      </c>
      <c r="AO88" s="2">
        <f t="shared" si="53"/>
        <v>4.6222222222222218</v>
      </c>
      <c r="AP88">
        <v>1120</v>
      </c>
      <c r="AQ88">
        <v>1120</v>
      </c>
      <c r="AR88" s="2">
        <f t="shared" si="54"/>
        <v>2240</v>
      </c>
      <c r="AS88" s="2">
        <f t="shared" si="55"/>
        <v>17920</v>
      </c>
      <c r="AT88" s="2">
        <f t="shared" si="56"/>
        <v>4.9777777777777779</v>
      </c>
      <c r="AU88">
        <v>1200</v>
      </c>
      <c r="AV88">
        <v>1200</v>
      </c>
      <c r="AW88" s="2">
        <f t="shared" si="57"/>
        <v>2400</v>
      </c>
      <c r="AX88" s="2">
        <f t="shared" si="58"/>
        <v>19200</v>
      </c>
      <c r="AY88" s="2">
        <f t="shared" si="59"/>
        <v>5.333333333333333</v>
      </c>
    </row>
    <row r="89" spans="1:51" x14ac:dyDescent="0.3">
      <c r="A89" s="2" t="s">
        <v>93</v>
      </c>
      <c r="B89">
        <v>1040</v>
      </c>
      <c r="C89">
        <v>1040</v>
      </c>
      <c r="D89" s="2">
        <f t="shared" si="30"/>
        <v>2080</v>
      </c>
      <c r="E89" s="2">
        <f t="shared" si="31"/>
        <v>16640</v>
      </c>
      <c r="F89" s="2">
        <f t="shared" si="32"/>
        <v>4.6222222222222218</v>
      </c>
      <c r="G89">
        <v>1120</v>
      </c>
      <c r="H89">
        <v>1120</v>
      </c>
      <c r="I89" s="2">
        <f t="shared" si="33"/>
        <v>2240</v>
      </c>
      <c r="J89" s="2">
        <f t="shared" si="34"/>
        <v>17920</v>
      </c>
      <c r="K89" s="2">
        <f t="shared" si="35"/>
        <v>4.9777777777777779</v>
      </c>
      <c r="L89">
        <v>1040</v>
      </c>
      <c r="M89">
        <v>1040</v>
      </c>
      <c r="N89" s="2">
        <f t="shared" si="36"/>
        <v>2080</v>
      </c>
      <c r="O89" s="2">
        <f t="shared" si="37"/>
        <v>16640</v>
      </c>
      <c r="P89" s="2">
        <f t="shared" si="38"/>
        <v>4.6222222222222218</v>
      </c>
      <c r="Q89">
        <v>1120</v>
      </c>
      <c r="R89">
        <v>1120</v>
      </c>
      <c r="S89" s="2">
        <f t="shared" si="39"/>
        <v>2240</v>
      </c>
      <c r="T89" s="2">
        <f t="shared" si="40"/>
        <v>17920</v>
      </c>
      <c r="U89" s="2">
        <f t="shared" si="41"/>
        <v>4.9777777777777779</v>
      </c>
      <c r="V89">
        <v>1280</v>
      </c>
      <c r="W89">
        <v>1280</v>
      </c>
      <c r="X89" s="2">
        <f t="shared" si="42"/>
        <v>2560</v>
      </c>
      <c r="Y89" s="2">
        <f t="shared" si="43"/>
        <v>20480</v>
      </c>
      <c r="Z89" s="2">
        <f t="shared" si="44"/>
        <v>5.6888888888888891</v>
      </c>
      <c r="AA89">
        <v>1360</v>
      </c>
      <c r="AB89">
        <v>1360</v>
      </c>
      <c r="AC89" s="2">
        <f t="shared" si="45"/>
        <v>2720</v>
      </c>
      <c r="AD89" s="2">
        <f t="shared" si="46"/>
        <v>21760</v>
      </c>
      <c r="AE89" s="2">
        <f t="shared" si="47"/>
        <v>6.0444444444444443</v>
      </c>
      <c r="AF89">
        <v>1040</v>
      </c>
      <c r="AG89">
        <v>1040</v>
      </c>
      <c r="AH89" s="2">
        <f t="shared" si="48"/>
        <v>2080</v>
      </c>
      <c r="AI89" s="2">
        <f t="shared" si="49"/>
        <v>16640</v>
      </c>
      <c r="AJ89" s="2">
        <f t="shared" si="50"/>
        <v>4.6222222222222218</v>
      </c>
      <c r="AK89">
        <v>1120</v>
      </c>
      <c r="AL89">
        <v>1120</v>
      </c>
      <c r="AM89" s="2">
        <f t="shared" si="51"/>
        <v>2240</v>
      </c>
      <c r="AN89" s="2">
        <f t="shared" si="52"/>
        <v>17920</v>
      </c>
      <c r="AO89" s="2">
        <f t="shared" si="53"/>
        <v>4.9777777777777779</v>
      </c>
      <c r="AP89">
        <v>1120</v>
      </c>
      <c r="AQ89">
        <v>1120</v>
      </c>
      <c r="AR89" s="2">
        <f t="shared" si="54"/>
        <v>2240</v>
      </c>
      <c r="AS89" s="2">
        <f t="shared" si="55"/>
        <v>17920</v>
      </c>
      <c r="AT89" s="2">
        <f t="shared" si="56"/>
        <v>4.9777777777777779</v>
      </c>
      <c r="AU89">
        <v>960</v>
      </c>
      <c r="AV89">
        <v>960</v>
      </c>
      <c r="AW89" s="2">
        <f t="shared" si="57"/>
        <v>1920</v>
      </c>
      <c r="AX89" s="2">
        <f t="shared" si="58"/>
        <v>15360</v>
      </c>
      <c r="AY89" s="2">
        <f t="shared" si="59"/>
        <v>4.2666666666666666</v>
      </c>
    </row>
    <row r="90" spans="1:51" x14ac:dyDescent="0.3">
      <c r="A90" s="2" t="s">
        <v>94</v>
      </c>
      <c r="B90">
        <v>1280</v>
      </c>
      <c r="C90">
        <v>1280</v>
      </c>
      <c r="D90" s="2">
        <f t="shared" si="30"/>
        <v>2560</v>
      </c>
      <c r="E90" s="2">
        <f t="shared" si="31"/>
        <v>20480</v>
      </c>
      <c r="F90" s="2">
        <f t="shared" si="32"/>
        <v>5.6888888888888891</v>
      </c>
      <c r="G90">
        <v>1120</v>
      </c>
      <c r="H90">
        <v>1120</v>
      </c>
      <c r="I90" s="2">
        <f t="shared" si="33"/>
        <v>2240</v>
      </c>
      <c r="J90" s="2">
        <f t="shared" si="34"/>
        <v>17920</v>
      </c>
      <c r="K90" s="2">
        <f t="shared" si="35"/>
        <v>4.9777777777777779</v>
      </c>
      <c r="L90">
        <v>1200</v>
      </c>
      <c r="M90">
        <v>1200</v>
      </c>
      <c r="N90" s="2">
        <f t="shared" si="36"/>
        <v>2400</v>
      </c>
      <c r="O90" s="2">
        <f t="shared" si="37"/>
        <v>19200</v>
      </c>
      <c r="P90" s="2">
        <f t="shared" si="38"/>
        <v>5.333333333333333</v>
      </c>
      <c r="Q90">
        <v>1120</v>
      </c>
      <c r="R90">
        <v>1120</v>
      </c>
      <c r="S90" s="2">
        <f t="shared" si="39"/>
        <v>2240</v>
      </c>
      <c r="T90" s="2">
        <f t="shared" si="40"/>
        <v>17920</v>
      </c>
      <c r="U90" s="2">
        <f t="shared" si="41"/>
        <v>4.9777777777777779</v>
      </c>
      <c r="V90">
        <v>960</v>
      </c>
      <c r="W90">
        <v>960</v>
      </c>
      <c r="X90" s="2">
        <f t="shared" si="42"/>
        <v>1920</v>
      </c>
      <c r="Y90" s="2">
        <f t="shared" si="43"/>
        <v>15360</v>
      </c>
      <c r="Z90" s="2">
        <f t="shared" si="44"/>
        <v>4.2666666666666666</v>
      </c>
      <c r="AA90">
        <v>1040</v>
      </c>
      <c r="AB90">
        <v>1040</v>
      </c>
      <c r="AC90" s="2">
        <f t="shared" si="45"/>
        <v>2080</v>
      </c>
      <c r="AD90" s="2">
        <f t="shared" si="46"/>
        <v>16640</v>
      </c>
      <c r="AE90" s="2">
        <f t="shared" si="47"/>
        <v>4.6222222222222218</v>
      </c>
      <c r="AF90">
        <v>1200</v>
      </c>
      <c r="AG90">
        <v>1200</v>
      </c>
      <c r="AH90" s="2">
        <f t="shared" si="48"/>
        <v>2400</v>
      </c>
      <c r="AI90" s="2">
        <f t="shared" si="49"/>
        <v>19200</v>
      </c>
      <c r="AJ90" s="2">
        <f t="shared" si="50"/>
        <v>5.333333333333333</v>
      </c>
      <c r="AK90">
        <v>1280</v>
      </c>
      <c r="AL90">
        <v>1280</v>
      </c>
      <c r="AM90" s="2">
        <f t="shared" si="51"/>
        <v>2560</v>
      </c>
      <c r="AN90" s="2">
        <f t="shared" si="52"/>
        <v>20480</v>
      </c>
      <c r="AO90" s="2">
        <f t="shared" si="53"/>
        <v>5.6888888888888891</v>
      </c>
      <c r="AP90">
        <v>1120</v>
      </c>
      <c r="AQ90">
        <v>1120</v>
      </c>
      <c r="AR90" s="2">
        <f t="shared" si="54"/>
        <v>2240</v>
      </c>
      <c r="AS90" s="2">
        <f t="shared" si="55"/>
        <v>17920</v>
      </c>
      <c r="AT90" s="2">
        <f t="shared" si="56"/>
        <v>4.9777777777777779</v>
      </c>
      <c r="AU90">
        <v>1120</v>
      </c>
      <c r="AV90">
        <v>1120</v>
      </c>
      <c r="AW90" s="2">
        <f t="shared" si="57"/>
        <v>2240</v>
      </c>
      <c r="AX90" s="2">
        <f t="shared" si="58"/>
        <v>17920</v>
      </c>
      <c r="AY90" s="2">
        <f t="shared" si="59"/>
        <v>4.9777777777777779</v>
      </c>
    </row>
    <row r="91" spans="1:51" x14ac:dyDescent="0.3">
      <c r="A91" s="2" t="s">
        <v>95</v>
      </c>
      <c r="B91">
        <v>1040</v>
      </c>
      <c r="C91">
        <v>1040</v>
      </c>
      <c r="D91" s="2">
        <f t="shared" si="30"/>
        <v>2080</v>
      </c>
      <c r="E91" s="2">
        <f t="shared" si="31"/>
        <v>16640</v>
      </c>
      <c r="F91" s="2">
        <f t="shared" si="32"/>
        <v>4.6222222222222218</v>
      </c>
      <c r="G91">
        <v>1040</v>
      </c>
      <c r="H91">
        <v>1040</v>
      </c>
      <c r="I91" s="2">
        <f t="shared" si="33"/>
        <v>2080</v>
      </c>
      <c r="J91" s="2">
        <f t="shared" si="34"/>
        <v>16640</v>
      </c>
      <c r="K91" s="2">
        <f t="shared" si="35"/>
        <v>4.6222222222222218</v>
      </c>
      <c r="L91">
        <v>1040</v>
      </c>
      <c r="M91">
        <v>1040</v>
      </c>
      <c r="N91" s="2">
        <f t="shared" si="36"/>
        <v>2080</v>
      </c>
      <c r="O91" s="2">
        <f t="shared" si="37"/>
        <v>16640</v>
      </c>
      <c r="P91" s="2">
        <f t="shared" si="38"/>
        <v>4.6222222222222218</v>
      </c>
      <c r="Q91">
        <v>1040</v>
      </c>
      <c r="R91">
        <v>1040</v>
      </c>
      <c r="S91" s="2">
        <f t="shared" si="39"/>
        <v>2080</v>
      </c>
      <c r="T91" s="2">
        <f t="shared" si="40"/>
        <v>16640</v>
      </c>
      <c r="U91" s="2">
        <f t="shared" si="41"/>
        <v>4.6222222222222218</v>
      </c>
      <c r="V91">
        <v>1120</v>
      </c>
      <c r="W91">
        <v>1120</v>
      </c>
      <c r="X91" s="2">
        <f t="shared" si="42"/>
        <v>2240</v>
      </c>
      <c r="Y91" s="2">
        <f t="shared" si="43"/>
        <v>17920</v>
      </c>
      <c r="Z91" s="2">
        <f t="shared" si="44"/>
        <v>4.9777777777777779</v>
      </c>
      <c r="AA91">
        <v>1040</v>
      </c>
      <c r="AB91">
        <v>1040</v>
      </c>
      <c r="AC91" s="2">
        <f t="shared" si="45"/>
        <v>2080</v>
      </c>
      <c r="AD91" s="2">
        <f t="shared" si="46"/>
        <v>16640</v>
      </c>
      <c r="AE91" s="2">
        <f t="shared" si="47"/>
        <v>4.6222222222222218</v>
      </c>
      <c r="AF91">
        <v>1200</v>
      </c>
      <c r="AG91">
        <v>1200</v>
      </c>
      <c r="AH91" s="2">
        <f t="shared" si="48"/>
        <v>2400</v>
      </c>
      <c r="AI91" s="2">
        <f t="shared" si="49"/>
        <v>19200</v>
      </c>
      <c r="AJ91" s="2">
        <f t="shared" si="50"/>
        <v>5.333333333333333</v>
      </c>
      <c r="AK91">
        <v>720</v>
      </c>
      <c r="AL91">
        <v>720</v>
      </c>
      <c r="AM91" s="2">
        <f t="shared" si="51"/>
        <v>1440</v>
      </c>
      <c r="AN91" s="2">
        <f t="shared" si="52"/>
        <v>11520</v>
      </c>
      <c r="AO91" s="2">
        <f t="shared" si="53"/>
        <v>3.2</v>
      </c>
      <c r="AP91">
        <v>1040</v>
      </c>
      <c r="AQ91">
        <v>1040</v>
      </c>
      <c r="AR91" s="2">
        <f t="shared" si="54"/>
        <v>2080</v>
      </c>
      <c r="AS91" s="2">
        <f t="shared" si="55"/>
        <v>16640</v>
      </c>
      <c r="AT91" s="2">
        <f t="shared" si="56"/>
        <v>4.6222222222222218</v>
      </c>
      <c r="AU91">
        <v>960</v>
      </c>
      <c r="AV91">
        <v>960</v>
      </c>
      <c r="AW91" s="2">
        <f t="shared" si="57"/>
        <v>1920</v>
      </c>
      <c r="AX91" s="2">
        <f t="shared" si="58"/>
        <v>15360</v>
      </c>
      <c r="AY91" s="2">
        <f t="shared" si="59"/>
        <v>4.2666666666666666</v>
      </c>
    </row>
    <row r="92" spans="1:51" x14ac:dyDescent="0.3">
      <c r="A92" s="2" t="s">
        <v>96</v>
      </c>
      <c r="B92">
        <v>1200</v>
      </c>
      <c r="C92">
        <v>1200</v>
      </c>
      <c r="D92" s="2">
        <f t="shared" si="30"/>
        <v>2400</v>
      </c>
      <c r="E92" s="2">
        <f t="shared" si="31"/>
        <v>19200</v>
      </c>
      <c r="F92" s="2">
        <f t="shared" si="32"/>
        <v>5.333333333333333</v>
      </c>
      <c r="G92">
        <v>1040</v>
      </c>
      <c r="H92">
        <v>1040</v>
      </c>
      <c r="I92" s="2">
        <f t="shared" si="33"/>
        <v>2080</v>
      </c>
      <c r="J92" s="2">
        <f t="shared" si="34"/>
        <v>16640</v>
      </c>
      <c r="K92" s="2">
        <f t="shared" si="35"/>
        <v>4.6222222222222218</v>
      </c>
      <c r="L92">
        <v>1120</v>
      </c>
      <c r="M92">
        <v>1120</v>
      </c>
      <c r="N92" s="2">
        <f t="shared" si="36"/>
        <v>2240</v>
      </c>
      <c r="O92" s="2">
        <f t="shared" si="37"/>
        <v>17920</v>
      </c>
      <c r="P92" s="2">
        <f t="shared" si="38"/>
        <v>4.9777777777777779</v>
      </c>
      <c r="Q92">
        <v>960</v>
      </c>
      <c r="R92">
        <v>960</v>
      </c>
      <c r="S92" s="2">
        <f t="shared" si="39"/>
        <v>1920</v>
      </c>
      <c r="T92" s="2">
        <f t="shared" si="40"/>
        <v>15360</v>
      </c>
      <c r="U92" s="2">
        <f t="shared" si="41"/>
        <v>4.2666666666666666</v>
      </c>
      <c r="V92">
        <v>1200</v>
      </c>
      <c r="W92">
        <v>1200</v>
      </c>
      <c r="X92" s="2">
        <f t="shared" si="42"/>
        <v>2400</v>
      </c>
      <c r="Y92" s="2">
        <f t="shared" si="43"/>
        <v>19200</v>
      </c>
      <c r="Z92" s="2">
        <f t="shared" si="44"/>
        <v>5.333333333333333</v>
      </c>
      <c r="AA92">
        <v>1120</v>
      </c>
      <c r="AB92">
        <v>1120</v>
      </c>
      <c r="AC92" s="2">
        <f t="shared" si="45"/>
        <v>2240</v>
      </c>
      <c r="AD92" s="2">
        <f t="shared" si="46"/>
        <v>17920</v>
      </c>
      <c r="AE92" s="2">
        <f t="shared" si="47"/>
        <v>4.9777777777777779</v>
      </c>
      <c r="AF92">
        <v>1200</v>
      </c>
      <c r="AG92">
        <v>1200</v>
      </c>
      <c r="AH92" s="2">
        <f t="shared" si="48"/>
        <v>2400</v>
      </c>
      <c r="AI92" s="2">
        <f t="shared" si="49"/>
        <v>19200</v>
      </c>
      <c r="AJ92" s="2">
        <f t="shared" si="50"/>
        <v>5.333333333333333</v>
      </c>
      <c r="AK92">
        <v>1120</v>
      </c>
      <c r="AL92">
        <v>1120</v>
      </c>
      <c r="AM92" s="2">
        <f t="shared" si="51"/>
        <v>2240</v>
      </c>
      <c r="AN92" s="2">
        <f t="shared" si="52"/>
        <v>17920</v>
      </c>
      <c r="AO92" s="2">
        <f t="shared" si="53"/>
        <v>4.9777777777777779</v>
      </c>
      <c r="AP92">
        <v>1120</v>
      </c>
      <c r="AQ92">
        <v>1120</v>
      </c>
      <c r="AR92" s="2">
        <f t="shared" si="54"/>
        <v>2240</v>
      </c>
      <c r="AS92" s="2">
        <f t="shared" si="55"/>
        <v>17920</v>
      </c>
      <c r="AT92" s="2">
        <f t="shared" si="56"/>
        <v>4.9777777777777779</v>
      </c>
      <c r="AU92">
        <v>1120</v>
      </c>
      <c r="AV92">
        <v>1120</v>
      </c>
      <c r="AW92" s="2">
        <f t="shared" si="57"/>
        <v>2240</v>
      </c>
      <c r="AX92" s="2">
        <f t="shared" si="58"/>
        <v>17920</v>
      </c>
      <c r="AY92" s="2">
        <f t="shared" si="59"/>
        <v>4.9777777777777779</v>
      </c>
    </row>
    <row r="93" spans="1:51" x14ac:dyDescent="0.3">
      <c r="A93" s="2" t="s">
        <v>97</v>
      </c>
      <c r="B93">
        <v>1120</v>
      </c>
      <c r="C93">
        <v>1120</v>
      </c>
      <c r="D93" s="2">
        <f t="shared" si="30"/>
        <v>2240</v>
      </c>
      <c r="E93" s="2">
        <f t="shared" si="31"/>
        <v>17920</v>
      </c>
      <c r="F93" s="2">
        <f t="shared" si="32"/>
        <v>4.9777777777777779</v>
      </c>
      <c r="G93">
        <v>1120</v>
      </c>
      <c r="H93">
        <v>1120</v>
      </c>
      <c r="I93" s="2">
        <f t="shared" si="33"/>
        <v>2240</v>
      </c>
      <c r="J93" s="2">
        <f t="shared" si="34"/>
        <v>17920</v>
      </c>
      <c r="K93" s="2">
        <f t="shared" si="35"/>
        <v>4.9777777777777779</v>
      </c>
      <c r="L93">
        <v>880</v>
      </c>
      <c r="M93">
        <v>880</v>
      </c>
      <c r="N93" s="2">
        <f t="shared" si="36"/>
        <v>1760</v>
      </c>
      <c r="O93" s="2">
        <f t="shared" si="37"/>
        <v>14080</v>
      </c>
      <c r="P93" s="2">
        <f t="shared" si="38"/>
        <v>3.911111111111111</v>
      </c>
      <c r="Q93">
        <v>1200</v>
      </c>
      <c r="R93">
        <v>1200</v>
      </c>
      <c r="S93" s="2">
        <f t="shared" si="39"/>
        <v>2400</v>
      </c>
      <c r="T93" s="2">
        <f t="shared" si="40"/>
        <v>19200</v>
      </c>
      <c r="U93" s="2">
        <f t="shared" si="41"/>
        <v>5.333333333333333</v>
      </c>
      <c r="V93">
        <v>960</v>
      </c>
      <c r="W93">
        <v>960</v>
      </c>
      <c r="X93" s="2">
        <f t="shared" si="42"/>
        <v>1920</v>
      </c>
      <c r="Y93" s="2">
        <f t="shared" si="43"/>
        <v>15360</v>
      </c>
      <c r="Z93" s="2">
        <f t="shared" si="44"/>
        <v>4.2666666666666666</v>
      </c>
      <c r="AA93">
        <v>960</v>
      </c>
      <c r="AB93">
        <v>960</v>
      </c>
      <c r="AC93" s="2">
        <f t="shared" si="45"/>
        <v>1920</v>
      </c>
      <c r="AD93" s="2">
        <f t="shared" si="46"/>
        <v>15360</v>
      </c>
      <c r="AE93" s="2">
        <f t="shared" si="47"/>
        <v>4.2666666666666666</v>
      </c>
      <c r="AF93">
        <v>1040</v>
      </c>
      <c r="AG93">
        <v>1040</v>
      </c>
      <c r="AH93" s="2">
        <f t="shared" si="48"/>
        <v>2080</v>
      </c>
      <c r="AI93" s="2">
        <f t="shared" si="49"/>
        <v>16640</v>
      </c>
      <c r="AJ93" s="2">
        <f t="shared" si="50"/>
        <v>4.6222222222222218</v>
      </c>
      <c r="AK93">
        <v>1040</v>
      </c>
      <c r="AL93">
        <v>1040</v>
      </c>
      <c r="AM93" s="2">
        <f t="shared" si="51"/>
        <v>2080</v>
      </c>
      <c r="AN93" s="2">
        <f t="shared" si="52"/>
        <v>16640</v>
      </c>
      <c r="AO93" s="2">
        <f t="shared" si="53"/>
        <v>4.6222222222222218</v>
      </c>
      <c r="AP93">
        <v>1200</v>
      </c>
      <c r="AQ93">
        <v>1200</v>
      </c>
      <c r="AR93" s="2">
        <f t="shared" si="54"/>
        <v>2400</v>
      </c>
      <c r="AS93" s="2">
        <f t="shared" si="55"/>
        <v>19200</v>
      </c>
      <c r="AT93" s="2">
        <f t="shared" si="56"/>
        <v>5.333333333333333</v>
      </c>
      <c r="AU93">
        <v>1120</v>
      </c>
      <c r="AV93">
        <v>1120</v>
      </c>
      <c r="AW93" s="2">
        <f t="shared" si="57"/>
        <v>2240</v>
      </c>
      <c r="AX93" s="2">
        <f t="shared" si="58"/>
        <v>17920</v>
      </c>
      <c r="AY93" s="2">
        <f t="shared" si="59"/>
        <v>4.9777777777777779</v>
      </c>
    </row>
    <row r="94" spans="1:51" x14ac:dyDescent="0.3">
      <c r="A94" s="2" t="s">
        <v>98</v>
      </c>
      <c r="B94">
        <v>1120</v>
      </c>
      <c r="C94">
        <v>1120</v>
      </c>
      <c r="D94" s="2">
        <f t="shared" si="30"/>
        <v>2240</v>
      </c>
      <c r="E94" s="2">
        <f t="shared" si="31"/>
        <v>17920</v>
      </c>
      <c r="F94" s="2">
        <f t="shared" si="32"/>
        <v>4.9777777777777779</v>
      </c>
      <c r="G94">
        <v>960</v>
      </c>
      <c r="H94">
        <v>960</v>
      </c>
      <c r="I94" s="2">
        <f t="shared" si="33"/>
        <v>1920</v>
      </c>
      <c r="J94" s="2">
        <f t="shared" si="34"/>
        <v>15360</v>
      </c>
      <c r="K94" s="2">
        <f t="shared" si="35"/>
        <v>4.2666666666666666</v>
      </c>
      <c r="L94">
        <v>800</v>
      </c>
      <c r="M94">
        <v>800</v>
      </c>
      <c r="N94" s="2">
        <f t="shared" si="36"/>
        <v>1600</v>
      </c>
      <c r="O94" s="2">
        <f t="shared" si="37"/>
        <v>12800</v>
      </c>
      <c r="P94" s="2">
        <f t="shared" si="38"/>
        <v>3.5555555555555554</v>
      </c>
      <c r="Q94">
        <v>1040</v>
      </c>
      <c r="R94">
        <v>1040</v>
      </c>
      <c r="S94" s="2">
        <f t="shared" si="39"/>
        <v>2080</v>
      </c>
      <c r="T94" s="2">
        <f t="shared" si="40"/>
        <v>16640</v>
      </c>
      <c r="U94" s="2">
        <f t="shared" si="41"/>
        <v>4.6222222222222218</v>
      </c>
      <c r="V94">
        <v>880</v>
      </c>
      <c r="W94">
        <v>880</v>
      </c>
      <c r="X94" s="2">
        <f t="shared" si="42"/>
        <v>1760</v>
      </c>
      <c r="Y94" s="2">
        <f t="shared" si="43"/>
        <v>14080</v>
      </c>
      <c r="Z94" s="2">
        <f t="shared" si="44"/>
        <v>3.911111111111111</v>
      </c>
      <c r="AA94">
        <v>1120</v>
      </c>
      <c r="AB94">
        <v>1120</v>
      </c>
      <c r="AC94" s="2">
        <f t="shared" si="45"/>
        <v>2240</v>
      </c>
      <c r="AD94" s="2">
        <f t="shared" si="46"/>
        <v>17920</v>
      </c>
      <c r="AE94" s="2">
        <f t="shared" si="47"/>
        <v>4.9777777777777779</v>
      </c>
      <c r="AF94">
        <v>1120</v>
      </c>
      <c r="AG94">
        <v>1120</v>
      </c>
      <c r="AH94" s="2">
        <f t="shared" si="48"/>
        <v>2240</v>
      </c>
      <c r="AI94" s="2">
        <f t="shared" si="49"/>
        <v>17920</v>
      </c>
      <c r="AJ94" s="2">
        <f t="shared" si="50"/>
        <v>4.9777777777777779</v>
      </c>
      <c r="AK94">
        <v>1040</v>
      </c>
      <c r="AL94">
        <v>1040</v>
      </c>
      <c r="AM94" s="2">
        <f t="shared" si="51"/>
        <v>2080</v>
      </c>
      <c r="AN94" s="2">
        <f t="shared" si="52"/>
        <v>16640</v>
      </c>
      <c r="AO94" s="2">
        <f t="shared" si="53"/>
        <v>4.6222222222222218</v>
      </c>
      <c r="AP94">
        <v>960</v>
      </c>
      <c r="AQ94">
        <v>960</v>
      </c>
      <c r="AR94" s="2">
        <f t="shared" si="54"/>
        <v>1920</v>
      </c>
      <c r="AS94" s="2">
        <f t="shared" si="55"/>
        <v>15360</v>
      </c>
      <c r="AT94" s="2">
        <f t="shared" si="56"/>
        <v>4.2666666666666666</v>
      </c>
      <c r="AU94">
        <v>960</v>
      </c>
      <c r="AV94">
        <v>960</v>
      </c>
      <c r="AW94" s="2">
        <f t="shared" si="57"/>
        <v>1920</v>
      </c>
      <c r="AX94" s="2">
        <f t="shared" si="58"/>
        <v>15360</v>
      </c>
      <c r="AY94" s="2">
        <f t="shared" si="59"/>
        <v>4.2666666666666666</v>
      </c>
    </row>
    <row r="95" spans="1:51" x14ac:dyDescent="0.3">
      <c r="A95" s="2" t="s">
        <v>99</v>
      </c>
      <c r="B95">
        <v>1200</v>
      </c>
      <c r="C95">
        <v>1200</v>
      </c>
      <c r="D95" s="2">
        <f t="shared" si="30"/>
        <v>2400</v>
      </c>
      <c r="E95" s="2">
        <f t="shared" si="31"/>
        <v>19200</v>
      </c>
      <c r="F95" s="2">
        <f t="shared" si="32"/>
        <v>5.333333333333333</v>
      </c>
      <c r="G95">
        <v>1040</v>
      </c>
      <c r="H95">
        <v>1040</v>
      </c>
      <c r="I95" s="2">
        <f t="shared" si="33"/>
        <v>2080</v>
      </c>
      <c r="J95" s="2">
        <f t="shared" si="34"/>
        <v>16640</v>
      </c>
      <c r="K95" s="2">
        <f t="shared" si="35"/>
        <v>4.6222222222222218</v>
      </c>
      <c r="L95">
        <v>1120</v>
      </c>
      <c r="M95">
        <v>1120</v>
      </c>
      <c r="N95" s="2">
        <f t="shared" si="36"/>
        <v>2240</v>
      </c>
      <c r="O95" s="2">
        <f t="shared" si="37"/>
        <v>17920</v>
      </c>
      <c r="P95" s="2">
        <f t="shared" si="38"/>
        <v>4.9777777777777779</v>
      </c>
      <c r="Q95">
        <v>880</v>
      </c>
      <c r="R95">
        <v>880</v>
      </c>
      <c r="S95" s="2">
        <f t="shared" si="39"/>
        <v>1760</v>
      </c>
      <c r="T95" s="2">
        <f t="shared" si="40"/>
        <v>14080</v>
      </c>
      <c r="U95" s="2">
        <f t="shared" si="41"/>
        <v>3.911111111111111</v>
      </c>
      <c r="V95">
        <v>1040</v>
      </c>
      <c r="W95">
        <v>1040</v>
      </c>
      <c r="X95" s="2">
        <f t="shared" si="42"/>
        <v>2080</v>
      </c>
      <c r="Y95" s="2">
        <f t="shared" si="43"/>
        <v>16640</v>
      </c>
      <c r="Z95" s="2">
        <f t="shared" si="44"/>
        <v>4.6222222222222218</v>
      </c>
      <c r="AA95">
        <v>880</v>
      </c>
      <c r="AB95">
        <v>880</v>
      </c>
      <c r="AC95" s="2">
        <f t="shared" si="45"/>
        <v>1760</v>
      </c>
      <c r="AD95" s="2">
        <f t="shared" si="46"/>
        <v>14080</v>
      </c>
      <c r="AE95" s="2">
        <f t="shared" si="47"/>
        <v>3.911111111111111</v>
      </c>
      <c r="AF95">
        <v>1040</v>
      </c>
      <c r="AG95">
        <v>1040</v>
      </c>
      <c r="AH95" s="2">
        <f t="shared" si="48"/>
        <v>2080</v>
      </c>
      <c r="AI95" s="2">
        <f t="shared" si="49"/>
        <v>16640</v>
      </c>
      <c r="AJ95" s="2">
        <f t="shared" si="50"/>
        <v>4.6222222222222218</v>
      </c>
      <c r="AK95">
        <v>1200</v>
      </c>
      <c r="AL95">
        <v>1200</v>
      </c>
      <c r="AM95" s="2">
        <f t="shared" si="51"/>
        <v>2400</v>
      </c>
      <c r="AN95" s="2">
        <f t="shared" si="52"/>
        <v>19200</v>
      </c>
      <c r="AO95" s="2">
        <f t="shared" si="53"/>
        <v>5.333333333333333</v>
      </c>
      <c r="AP95">
        <v>960</v>
      </c>
      <c r="AQ95">
        <v>960</v>
      </c>
      <c r="AR95" s="2">
        <f t="shared" si="54"/>
        <v>1920</v>
      </c>
      <c r="AS95" s="2">
        <f t="shared" si="55"/>
        <v>15360</v>
      </c>
      <c r="AT95" s="2">
        <f t="shared" si="56"/>
        <v>4.2666666666666666</v>
      </c>
      <c r="AU95">
        <v>1120</v>
      </c>
      <c r="AV95">
        <v>1120</v>
      </c>
      <c r="AW95" s="2">
        <f t="shared" si="57"/>
        <v>2240</v>
      </c>
      <c r="AX95" s="2">
        <f t="shared" si="58"/>
        <v>17920</v>
      </c>
      <c r="AY95" s="2">
        <f t="shared" si="59"/>
        <v>4.9777777777777779</v>
      </c>
    </row>
    <row r="96" spans="1:51" x14ac:dyDescent="0.3">
      <c r="A96" s="2" t="s">
        <v>100</v>
      </c>
      <c r="B96">
        <v>1200</v>
      </c>
      <c r="C96">
        <v>1200</v>
      </c>
      <c r="D96" s="2">
        <f t="shared" si="30"/>
        <v>2400</v>
      </c>
      <c r="E96" s="2">
        <f t="shared" si="31"/>
        <v>19200</v>
      </c>
      <c r="F96" s="2">
        <f t="shared" si="32"/>
        <v>5.333333333333333</v>
      </c>
      <c r="G96">
        <v>1040</v>
      </c>
      <c r="H96">
        <v>1040</v>
      </c>
      <c r="I96" s="2">
        <f t="shared" si="33"/>
        <v>2080</v>
      </c>
      <c r="J96" s="2">
        <f t="shared" si="34"/>
        <v>16640</v>
      </c>
      <c r="K96" s="2">
        <f t="shared" si="35"/>
        <v>4.6222222222222218</v>
      </c>
      <c r="L96">
        <v>1120</v>
      </c>
      <c r="M96">
        <v>1120</v>
      </c>
      <c r="N96" s="2">
        <f t="shared" si="36"/>
        <v>2240</v>
      </c>
      <c r="O96" s="2">
        <f t="shared" si="37"/>
        <v>17920</v>
      </c>
      <c r="P96" s="2">
        <f t="shared" si="38"/>
        <v>4.9777777777777779</v>
      </c>
      <c r="Q96">
        <v>960</v>
      </c>
      <c r="R96">
        <v>960</v>
      </c>
      <c r="S96" s="2">
        <f t="shared" si="39"/>
        <v>1920</v>
      </c>
      <c r="T96" s="2">
        <f t="shared" si="40"/>
        <v>15360</v>
      </c>
      <c r="U96" s="2">
        <f t="shared" si="41"/>
        <v>4.2666666666666666</v>
      </c>
      <c r="V96">
        <v>1200</v>
      </c>
      <c r="W96">
        <v>1200</v>
      </c>
      <c r="X96" s="2">
        <f t="shared" si="42"/>
        <v>2400</v>
      </c>
      <c r="Y96" s="2">
        <f t="shared" si="43"/>
        <v>19200</v>
      </c>
      <c r="Z96" s="2">
        <f t="shared" si="44"/>
        <v>5.333333333333333</v>
      </c>
      <c r="AA96">
        <v>1040</v>
      </c>
      <c r="AB96">
        <v>1040</v>
      </c>
      <c r="AC96" s="2">
        <f t="shared" si="45"/>
        <v>2080</v>
      </c>
      <c r="AD96" s="2">
        <f t="shared" si="46"/>
        <v>16640</v>
      </c>
      <c r="AE96" s="2">
        <f t="shared" si="47"/>
        <v>4.6222222222222218</v>
      </c>
      <c r="AF96">
        <v>1200</v>
      </c>
      <c r="AG96">
        <v>1200</v>
      </c>
      <c r="AH96" s="2">
        <f t="shared" si="48"/>
        <v>2400</v>
      </c>
      <c r="AI96" s="2">
        <f t="shared" si="49"/>
        <v>19200</v>
      </c>
      <c r="AJ96" s="2">
        <f t="shared" si="50"/>
        <v>5.333333333333333</v>
      </c>
      <c r="AK96">
        <v>1280</v>
      </c>
      <c r="AL96">
        <v>1280</v>
      </c>
      <c r="AM96" s="2">
        <f t="shared" si="51"/>
        <v>2560</v>
      </c>
      <c r="AN96" s="2">
        <f t="shared" si="52"/>
        <v>20480</v>
      </c>
      <c r="AO96" s="2">
        <f t="shared" si="53"/>
        <v>5.6888888888888891</v>
      </c>
      <c r="AP96">
        <v>1040</v>
      </c>
      <c r="AQ96">
        <v>1040</v>
      </c>
      <c r="AR96" s="2">
        <f t="shared" si="54"/>
        <v>2080</v>
      </c>
      <c r="AS96" s="2">
        <f t="shared" si="55"/>
        <v>16640</v>
      </c>
      <c r="AT96" s="2">
        <f t="shared" si="56"/>
        <v>4.6222222222222218</v>
      </c>
      <c r="AU96">
        <v>1120</v>
      </c>
      <c r="AV96">
        <v>1120</v>
      </c>
      <c r="AW96" s="2">
        <f t="shared" si="57"/>
        <v>2240</v>
      </c>
      <c r="AX96" s="2">
        <f t="shared" si="58"/>
        <v>17920</v>
      </c>
      <c r="AY96" s="2">
        <f t="shared" si="59"/>
        <v>4.9777777777777779</v>
      </c>
    </row>
    <row r="97" spans="1:51" x14ac:dyDescent="0.3">
      <c r="A97" s="2" t="s">
        <v>101</v>
      </c>
      <c r="B97">
        <v>1120</v>
      </c>
      <c r="C97">
        <v>1120</v>
      </c>
      <c r="D97" s="2">
        <f t="shared" si="30"/>
        <v>2240</v>
      </c>
      <c r="E97" s="2">
        <f t="shared" si="31"/>
        <v>17920</v>
      </c>
      <c r="F97" s="2">
        <f t="shared" si="32"/>
        <v>4.9777777777777779</v>
      </c>
      <c r="G97">
        <v>1120</v>
      </c>
      <c r="H97">
        <v>1120</v>
      </c>
      <c r="I97" s="2">
        <f t="shared" si="33"/>
        <v>2240</v>
      </c>
      <c r="J97" s="2">
        <f t="shared" si="34"/>
        <v>17920</v>
      </c>
      <c r="K97" s="2">
        <f t="shared" si="35"/>
        <v>4.9777777777777779</v>
      </c>
      <c r="L97">
        <v>960</v>
      </c>
      <c r="M97">
        <v>960</v>
      </c>
      <c r="N97" s="2">
        <f t="shared" si="36"/>
        <v>1920</v>
      </c>
      <c r="O97" s="2">
        <f t="shared" si="37"/>
        <v>15360</v>
      </c>
      <c r="P97" s="2">
        <f t="shared" si="38"/>
        <v>4.2666666666666666</v>
      </c>
      <c r="Q97">
        <v>960</v>
      </c>
      <c r="R97">
        <v>960</v>
      </c>
      <c r="S97" s="2">
        <f t="shared" si="39"/>
        <v>1920</v>
      </c>
      <c r="T97" s="2">
        <f t="shared" si="40"/>
        <v>15360</v>
      </c>
      <c r="U97" s="2">
        <f t="shared" si="41"/>
        <v>4.2666666666666666</v>
      </c>
      <c r="V97">
        <v>960</v>
      </c>
      <c r="W97">
        <v>960</v>
      </c>
      <c r="X97" s="2">
        <f t="shared" si="42"/>
        <v>1920</v>
      </c>
      <c r="Y97" s="2">
        <f t="shared" si="43"/>
        <v>15360</v>
      </c>
      <c r="Z97" s="2">
        <f t="shared" si="44"/>
        <v>4.2666666666666666</v>
      </c>
      <c r="AA97">
        <v>1040</v>
      </c>
      <c r="AB97">
        <v>1040</v>
      </c>
      <c r="AC97" s="2">
        <f t="shared" si="45"/>
        <v>2080</v>
      </c>
      <c r="AD97" s="2">
        <f t="shared" si="46"/>
        <v>16640</v>
      </c>
      <c r="AE97" s="2">
        <f t="shared" si="47"/>
        <v>4.6222222222222218</v>
      </c>
      <c r="AF97">
        <v>1120</v>
      </c>
      <c r="AG97">
        <v>1120</v>
      </c>
      <c r="AH97" s="2">
        <f t="shared" si="48"/>
        <v>2240</v>
      </c>
      <c r="AI97" s="2">
        <f t="shared" si="49"/>
        <v>17920</v>
      </c>
      <c r="AJ97" s="2">
        <f t="shared" si="50"/>
        <v>4.9777777777777779</v>
      </c>
      <c r="AK97">
        <v>1040</v>
      </c>
      <c r="AL97">
        <v>1040</v>
      </c>
      <c r="AM97" s="2">
        <f t="shared" si="51"/>
        <v>2080</v>
      </c>
      <c r="AN97" s="2">
        <f t="shared" si="52"/>
        <v>16640</v>
      </c>
      <c r="AO97" s="2">
        <f t="shared" si="53"/>
        <v>4.6222222222222218</v>
      </c>
      <c r="AP97">
        <v>1040</v>
      </c>
      <c r="AQ97">
        <v>1040</v>
      </c>
      <c r="AR97" s="2">
        <f t="shared" si="54"/>
        <v>2080</v>
      </c>
      <c r="AS97" s="2">
        <f t="shared" si="55"/>
        <v>16640</v>
      </c>
      <c r="AT97" s="2">
        <f t="shared" si="56"/>
        <v>4.6222222222222218</v>
      </c>
      <c r="AU97">
        <v>1120</v>
      </c>
      <c r="AV97">
        <v>1120</v>
      </c>
      <c r="AW97" s="2">
        <f t="shared" si="57"/>
        <v>2240</v>
      </c>
      <c r="AX97" s="2">
        <f t="shared" si="58"/>
        <v>17920</v>
      </c>
      <c r="AY97" s="2">
        <f t="shared" si="59"/>
        <v>4.9777777777777779</v>
      </c>
    </row>
    <row r="98" spans="1:51" x14ac:dyDescent="0.3">
      <c r="A98" s="2" t="s">
        <v>102</v>
      </c>
      <c r="B98">
        <v>880</v>
      </c>
      <c r="C98">
        <v>880</v>
      </c>
      <c r="D98" s="2">
        <f t="shared" si="30"/>
        <v>1760</v>
      </c>
      <c r="E98" s="2">
        <f t="shared" si="31"/>
        <v>14080</v>
      </c>
      <c r="F98" s="2">
        <f t="shared" si="32"/>
        <v>3.911111111111111</v>
      </c>
      <c r="G98">
        <v>880</v>
      </c>
      <c r="H98">
        <v>880</v>
      </c>
      <c r="I98" s="2">
        <f t="shared" si="33"/>
        <v>1760</v>
      </c>
      <c r="J98" s="2">
        <f t="shared" si="34"/>
        <v>14080</v>
      </c>
      <c r="K98" s="2">
        <f t="shared" si="35"/>
        <v>3.911111111111111</v>
      </c>
      <c r="L98">
        <v>960</v>
      </c>
      <c r="M98">
        <v>960</v>
      </c>
      <c r="N98" s="2">
        <f t="shared" si="36"/>
        <v>1920</v>
      </c>
      <c r="O98" s="2">
        <f t="shared" si="37"/>
        <v>15360</v>
      </c>
      <c r="P98" s="2">
        <f t="shared" si="38"/>
        <v>4.2666666666666666</v>
      </c>
      <c r="Q98">
        <v>1120</v>
      </c>
      <c r="R98">
        <v>1120</v>
      </c>
      <c r="S98" s="2">
        <f t="shared" si="39"/>
        <v>2240</v>
      </c>
      <c r="T98" s="2">
        <f t="shared" si="40"/>
        <v>17920</v>
      </c>
      <c r="U98" s="2">
        <f t="shared" si="41"/>
        <v>4.9777777777777779</v>
      </c>
      <c r="V98">
        <v>1040</v>
      </c>
      <c r="W98">
        <v>1040</v>
      </c>
      <c r="X98" s="2">
        <f t="shared" si="42"/>
        <v>2080</v>
      </c>
      <c r="Y98" s="2">
        <f t="shared" si="43"/>
        <v>16640</v>
      </c>
      <c r="Z98" s="2">
        <f t="shared" si="44"/>
        <v>4.6222222222222218</v>
      </c>
      <c r="AA98">
        <v>1120</v>
      </c>
      <c r="AB98">
        <v>1120</v>
      </c>
      <c r="AC98" s="2">
        <f t="shared" si="45"/>
        <v>2240</v>
      </c>
      <c r="AD98" s="2">
        <f t="shared" si="46"/>
        <v>17920</v>
      </c>
      <c r="AE98" s="2">
        <f t="shared" si="47"/>
        <v>4.9777777777777779</v>
      </c>
      <c r="AF98">
        <v>800</v>
      </c>
      <c r="AG98">
        <v>800</v>
      </c>
      <c r="AH98" s="2">
        <f t="shared" si="48"/>
        <v>1600</v>
      </c>
      <c r="AI98" s="2">
        <f t="shared" si="49"/>
        <v>12800</v>
      </c>
      <c r="AJ98" s="2">
        <f t="shared" si="50"/>
        <v>3.5555555555555554</v>
      </c>
      <c r="AK98">
        <v>800</v>
      </c>
      <c r="AL98">
        <v>800</v>
      </c>
      <c r="AM98" s="2">
        <f t="shared" si="51"/>
        <v>1600</v>
      </c>
      <c r="AN98" s="2">
        <f t="shared" si="52"/>
        <v>12800</v>
      </c>
      <c r="AO98" s="2">
        <f t="shared" si="53"/>
        <v>3.5555555555555554</v>
      </c>
      <c r="AP98">
        <v>1120</v>
      </c>
      <c r="AQ98">
        <v>1120</v>
      </c>
      <c r="AR98" s="2">
        <f t="shared" si="54"/>
        <v>2240</v>
      </c>
      <c r="AS98" s="2">
        <f t="shared" si="55"/>
        <v>17920</v>
      </c>
      <c r="AT98" s="2">
        <f t="shared" si="56"/>
        <v>4.9777777777777779</v>
      </c>
      <c r="AU98">
        <v>1120</v>
      </c>
      <c r="AV98">
        <v>1120</v>
      </c>
      <c r="AW98" s="2">
        <f t="shared" si="57"/>
        <v>2240</v>
      </c>
      <c r="AX98" s="2">
        <f t="shared" si="58"/>
        <v>17920</v>
      </c>
      <c r="AY98" s="2">
        <f t="shared" si="59"/>
        <v>4.9777777777777779</v>
      </c>
    </row>
    <row r="99" spans="1:51" x14ac:dyDescent="0.3">
      <c r="A99" s="2" t="s">
        <v>103</v>
      </c>
      <c r="B99">
        <v>960</v>
      </c>
      <c r="C99">
        <v>960</v>
      </c>
      <c r="D99" s="2">
        <f t="shared" si="30"/>
        <v>1920</v>
      </c>
      <c r="E99" s="2">
        <f t="shared" si="31"/>
        <v>15360</v>
      </c>
      <c r="F99" s="2">
        <f t="shared" si="32"/>
        <v>4.2666666666666666</v>
      </c>
      <c r="G99">
        <v>960</v>
      </c>
      <c r="H99">
        <v>960</v>
      </c>
      <c r="I99" s="2">
        <f t="shared" si="33"/>
        <v>1920</v>
      </c>
      <c r="J99" s="2">
        <f t="shared" si="34"/>
        <v>15360</v>
      </c>
      <c r="K99" s="2">
        <f t="shared" si="35"/>
        <v>4.2666666666666666</v>
      </c>
      <c r="L99">
        <v>1120</v>
      </c>
      <c r="M99">
        <v>1120</v>
      </c>
      <c r="N99" s="2">
        <f t="shared" si="36"/>
        <v>2240</v>
      </c>
      <c r="O99" s="2">
        <f t="shared" si="37"/>
        <v>17920</v>
      </c>
      <c r="P99" s="2">
        <f t="shared" si="38"/>
        <v>4.9777777777777779</v>
      </c>
      <c r="Q99">
        <v>800</v>
      </c>
      <c r="R99">
        <v>800</v>
      </c>
      <c r="S99" s="2">
        <f t="shared" si="39"/>
        <v>1600</v>
      </c>
      <c r="T99" s="2">
        <f t="shared" si="40"/>
        <v>12800</v>
      </c>
      <c r="U99" s="2">
        <f t="shared" si="41"/>
        <v>3.5555555555555554</v>
      </c>
      <c r="V99">
        <v>1200</v>
      </c>
      <c r="W99">
        <v>1200</v>
      </c>
      <c r="X99" s="2">
        <f t="shared" si="42"/>
        <v>2400</v>
      </c>
      <c r="Y99" s="2">
        <f t="shared" si="43"/>
        <v>19200</v>
      </c>
      <c r="Z99" s="2">
        <f t="shared" si="44"/>
        <v>5.333333333333333</v>
      </c>
      <c r="AA99">
        <v>1360</v>
      </c>
      <c r="AB99">
        <v>1360</v>
      </c>
      <c r="AC99" s="2">
        <f t="shared" si="45"/>
        <v>2720</v>
      </c>
      <c r="AD99" s="2">
        <f t="shared" si="46"/>
        <v>21760</v>
      </c>
      <c r="AE99" s="2">
        <f t="shared" si="47"/>
        <v>6.0444444444444443</v>
      </c>
      <c r="AF99">
        <v>1120</v>
      </c>
      <c r="AG99">
        <v>1120</v>
      </c>
      <c r="AH99" s="2">
        <f t="shared" si="48"/>
        <v>2240</v>
      </c>
      <c r="AI99" s="2">
        <f t="shared" si="49"/>
        <v>17920</v>
      </c>
      <c r="AJ99" s="2">
        <f t="shared" si="50"/>
        <v>4.9777777777777779</v>
      </c>
      <c r="AK99">
        <v>1120</v>
      </c>
      <c r="AL99">
        <v>1120</v>
      </c>
      <c r="AM99" s="2">
        <f t="shared" si="51"/>
        <v>2240</v>
      </c>
      <c r="AN99" s="2">
        <f t="shared" si="52"/>
        <v>17920</v>
      </c>
      <c r="AO99" s="2">
        <f t="shared" si="53"/>
        <v>4.9777777777777779</v>
      </c>
      <c r="AP99">
        <v>1040</v>
      </c>
      <c r="AQ99">
        <v>1040</v>
      </c>
      <c r="AR99" s="2">
        <f t="shared" si="54"/>
        <v>2080</v>
      </c>
      <c r="AS99" s="2">
        <f t="shared" si="55"/>
        <v>16640</v>
      </c>
      <c r="AT99" s="2">
        <f t="shared" si="56"/>
        <v>4.6222222222222218</v>
      </c>
      <c r="AU99">
        <v>1120</v>
      </c>
      <c r="AV99">
        <v>1120</v>
      </c>
      <c r="AW99" s="2">
        <f t="shared" si="57"/>
        <v>2240</v>
      </c>
      <c r="AX99" s="2">
        <f t="shared" si="58"/>
        <v>17920</v>
      </c>
      <c r="AY99" s="2">
        <f t="shared" si="59"/>
        <v>4.9777777777777779</v>
      </c>
    </row>
    <row r="100" spans="1:51" x14ac:dyDescent="0.3">
      <c r="A100" s="2" t="s">
        <v>104</v>
      </c>
      <c r="B100">
        <v>1120</v>
      </c>
      <c r="C100">
        <v>1120</v>
      </c>
      <c r="D100" s="2">
        <f t="shared" si="30"/>
        <v>2240</v>
      </c>
      <c r="E100" s="2">
        <f t="shared" si="31"/>
        <v>17920</v>
      </c>
      <c r="F100" s="2">
        <f t="shared" si="32"/>
        <v>4.9777777777777779</v>
      </c>
      <c r="G100">
        <v>1200</v>
      </c>
      <c r="H100">
        <v>1200</v>
      </c>
      <c r="I100" s="2">
        <f t="shared" si="33"/>
        <v>2400</v>
      </c>
      <c r="J100" s="2">
        <f t="shared" si="34"/>
        <v>19200</v>
      </c>
      <c r="K100" s="2">
        <f t="shared" si="35"/>
        <v>5.333333333333333</v>
      </c>
      <c r="L100">
        <v>960</v>
      </c>
      <c r="M100">
        <v>960</v>
      </c>
      <c r="N100" s="2">
        <f t="shared" si="36"/>
        <v>1920</v>
      </c>
      <c r="O100" s="2">
        <f t="shared" si="37"/>
        <v>15360</v>
      </c>
      <c r="P100" s="2">
        <f t="shared" si="38"/>
        <v>4.2666666666666666</v>
      </c>
      <c r="Q100">
        <v>1120</v>
      </c>
      <c r="R100">
        <v>1120</v>
      </c>
      <c r="S100" s="2">
        <f t="shared" si="39"/>
        <v>2240</v>
      </c>
      <c r="T100" s="2">
        <f t="shared" si="40"/>
        <v>17920</v>
      </c>
      <c r="U100" s="2">
        <f t="shared" si="41"/>
        <v>4.9777777777777779</v>
      </c>
      <c r="V100">
        <v>1120</v>
      </c>
      <c r="W100">
        <v>1120</v>
      </c>
      <c r="X100" s="2">
        <f t="shared" si="42"/>
        <v>2240</v>
      </c>
      <c r="Y100" s="2">
        <f t="shared" si="43"/>
        <v>17920</v>
      </c>
      <c r="Z100" s="2">
        <f t="shared" si="44"/>
        <v>4.9777777777777779</v>
      </c>
      <c r="AA100">
        <v>1040</v>
      </c>
      <c r="AB100">
        <v>1040</v>
      </c>
      <c r="AC100" s="2">
        <f t="shared" si="45"/>
        <v>2080</v>
      </c>
      <c r="AD100" s="2">
        <f t="shared" si="46"/>
        <v>16640</v>
      </c>
      <c r="AE100" s="2">
        <f t="shared" si="47"/>
        <v>4.6222222222222218</v>
      </c>
      <c r="AF100">
        <v>1120</v>
      </c>
      <c r="AG100">
        <v>1120</v>
      </c>
      <c r="AH100" s="2">
        <f t="shared" si="48"/>
        <v>2240</v>
      </c>
      <c r="AI100" s="2">
        <f t="shared" si="49"/>
        <v>17920</v>
      </c>
      <c r="AJ100" s="2">
        <f t="shared" si="50"/>
        <v>4.9777777777777779</v>
      </c>
      <c r="AK100">
        <v>1120</v>
      </c>
      <c r="AL100">
        <v>1120</v>
      </c>
      <c r="AM100" s="2">
        <f t="shared" si="51"/>
        <v>2240</v>
      </c>
      <c r="AN100" s="2">
        <f t="shared" si="52"/>
        <v>17920</v>
      </c>
      <c r="AO100" s="2">
        <f t="shared" si="53"/>
        <v>4.9777777777777779</v>
      </c>
      <c r="AP100">
        <v>1120</v>
      </c>
      <c r="AQ100">
        <v>1120</v>
      </c>
      <c r="AR100" s="2">
        <f t="shared" si="54"/>
        <v>2240</v>
      </c>
      <c r="AS100" s="2">
        <f t="shared" si="55"/>
        <v>17920</v>
      </c>
      <c r="AT100" s="2">
        <f t="shared" si="56"/>
        <v>4.9777777777777779</v>
      </c>
      <c r="AU100">
        <v>960</v>
      </c>
      <c r="AV100">
        <v>960</v>
      </c>
      <c r="AW100" s="2">
        <f t="shared" si="57"/>
        <v>1920</v>
      </c>
      <c r="AX100" s="2">
        <f t="shared" si="58"/>
        <v>15360</v>
      </c>
      <c r="AY100" s="2">
        <f t="shared" si="59"/>
        <v>4.2666666666666666</v>
      </c>
    </row>
    <row r="101" spans="1:51" x14ac:dyDescent="0.3">
      <c r="A101" s="2" t="s">
        <v>105</v>
      </c>
      <c r="B101">
        <v>1200</v>
      </c>
      <c r="C101">
        <v>1200</v>
      </c>
      <c r="D101" s="2">
        <f t="shared" si="30"/>
        <v>2400</v>
      </c>
      <c r="E101" s="2">
        <f t="shared" si="31"/>
        <v>19200</v>
      </c>
      <c r="F101" s="2">
        <f t="shared" si="32"/>
        <v>5.333333333333333</v>
      </c>
      <c r="G101">
        <v>1120</v>
      </c>
      <c r="H101">
        <v>1120</v>
      </c>
      <c r="I101" s="2">
        <f t="shared" si="33"/>
        <v>2240</v>
      </c>
      <c r="J101" s="2">
        <f t="shared" si="34"/>
        <v>17920</v>
      </c>
      <c r="K101" s="2">
        <f t="shared" si="35"/>
        <v>4.9777777777777779</v>
      </c>
      <c r="L101">
        <v>960</v>
      </c>
      <c r="M101">
        <v>960</v>
      </c>
      <c r="N101" s="2">
        <f t="shared" si="36"/>
        <v>1920</v>
      </c>
      <c r="O101" s="2">
        <f t="shared" si="37"/>
        <v>15360</v>
      </c>
      <c r="P101" s="2">
        <f t="shared" si="38"/>
        <v>4.2666666666666666</v>
      </c>
      <c r="Q101">
        <v>960</v>
      </c>
      <c r="R101">
        <v>960</v>
      </c>
      <c r="S101" s="2">
        <f t="shared" si="39"/>
        <v>1920</v>
      </c>
      <c r="T101" s="2">
        <f t="shared" si="40"/>
        <v>15360</v>
      </c>
      <c r="U101" s="2">
        <f t="shared" si="41"/>
        <v>4.2666666666666666</v>
      </c>
      <c r="V101">
        <v>960</v>
      </c>
      <c r="W101">
        <v>960</v>
      </c>
      <c r="X101" s="2">
        <f t="shared" si="42"/>
        <v>1920</v>
      </c>
      <c r="Y101" s="2">
        <f t="shared" si="43"/>
        <v>15360</v>
      </c>
      <c r="Z101" s="2">
        <f t="shared" si="44"/>
        <v>4.2666666666666666</v>
      </c>
      <c r="AA101">
        <v>960</v>
      </c>
      <c r="AB101">
        <v>960</v>
      </c>
      <c r="AC101" s="2">
        <f t="shared" si="45"/>
        <v>1920</v>
      </c>
      <c r="AD101" s="2">
        <f t="shared" si="46"/>
        <v>15360</v>
      </c>
      <c r="AE101" s="2">
        <f t="shared" si="47"/>
        <v>4.2666666666666666</v>
      </c>
      <c r="AF101">
        <v>1120</v>
      </c>
      <c r="AG101">
        <v>1120</v>
      </c>
      <c r="AH101" s="2">
        <f t="shared" si="48"/>
        <v>2240</v>
      </c>
      <c r="AI101" s="2">
        <f t="shared" si="49"/>
        <v>17920</v>
      </c>
      <c r="AJ101" s="2">
        <f t="shared" si="50"/>
        <v>4.9777777777777779</v>
      </c>
      <c r="AK101">
        <v>1040</v>
      </c>
      <c r="AL101">
        <v>1040</v>
      </c>
      <c r="AM101" s="2">
        <f t="shared" si="51"/>
        <v>2080</v>
      </c>
      <c r="AN101" s="2">
        <f t="shared" si="52"/>
        <v>16640</v>
      </c>
      <c r="AO101" s="2">
        <f t="shared" si="53"/>
        <v>4.6222222222222218</v>
      </c>
      <c r="AP101">
        <v>1040</v>
      </c>
      <c r="AQ101">
        <v>1040</v>
      </c>
      <c r="AR101" s="2">
        <f t="shared" si="54"/>
        <v>2080</v>
      </c>
      <c r="AS101" s="2">
        <f t="shared" si="55"/>
        <v>16640</v>
      </c>
      <c r="AT101" s="2">
        <f t="shared" si="56"/>
        <v>4.6222222222222218</v>
      </c>
      <c r="AU101">
        <v>720</v>
      </c>
      <c r="AV101">
        <v>720</v>
      </c>
      <c r="AW101" s="2">
        <f t="shared" si="57"/>
        <v>1440</v>
      </c>
      <c r="AX101" s="2">
        <f t="shared" si="58"/>
        <v>11520</v>
      </c>
      <c r="AY101" s="2">
        <f t="shared" si="59"/>
        <v>3.2</v>
      </c>
    </row>
    <row r="102" spans="1:51" x14ac:dyDescent="0.3">
      <c r="A102" s="2" t="s">
        <v>106</v>
      </c>
      <c r="B102">
        <v>720</v>
      </c>
      <c r="C102">
        <v>720</v>
      </c>
      <c r="D102" s="2">
        <f t="shared" si="30"/>
        <v>1440</v>
      </c>
      <c r="E102" s="2">
        <f t="shared" si="31"/>
        <v>11520</v>
      </c>
      <c r="F102" s="2">
        <f t="shared" si="32"/>
        <v>3.2</v>
      </c>
      <c r="G102">
        <v>1200</v>
      </c>
      <c r="H102">
        <v>1200</v>
      </c>
      <c r="I102" s="2">
        <f t="shared" si="33"/>
        <v>2400</v>
      </c>
      <c r="J102" s="2">
        <f t="shared" si="34"/>
        <v>19200</v>
      </c>
      <c r="K102" s="2">
        <f t="shared" si="35"/>
        <v>5.333333333333333</v>
      </c>
      <c r="L102">
        <v>880</v>
      </c>
      <c r="M102">
        <v>880</v>
      </c>
      <c r="N102" s="2">
        <f t="shared" si="36"/>
        <v>1760</v>
      </c>
      <c r="O102" s="2">
        <f t="shared" si="37"/>
        <v>14080</v>
      </c>
      <c r="P102" s="2">
        <f t="shared" si="38"/>
        <v>3.911111111111111</v>
      </c>
      <c r="Q102">
        <v>1200</v>
      </c>
      <c r="R102">
        <v>1200</v>
      </c>
      <c r="S102" s="2">
        <f t="shared" si="39"/>
        <v>2400</v>
      </c>
      <c r="T102" s="2">
        <f t="shared" si="40"/>
        <v>19200</v>
      </c>
      <c r="U102" s="2">
        <f t="shared" si="41"/>
        <v>5.333333333333333</v>
      </c>
      <c r="V102">
        <v>1200</v>
      </c>
      <c r="W102">
        <v>1200</v>
      </c>
      <c r="X102" s="2">
        <f t="shared" si="42"/>
        <v>2400</v>
      </c>
      <c r="Y102" s="2">
        <f t="shared" si="43"/>
        <v>19200</v>
      </c>
      <c r="Z102" s="2">
        <f t="shared" si="44"/>
        <v>5.333333333333333</v>
      </c>
      <c r="AA102">
        <v>1120</v>
      </c>
      <c r="AB102">
        <v>1120</v>
      </c>
      <c r="AC102" s="2">
        <f t="shared" si="45"/>
        <v>2240</v>
      </c>
      <c r="AD102" s="2">
        <f t="shared" si="46"/>
        <v>17920</v>
      </c>
      <c r="AE102" s="2">
        <f t="shared" si="47"/>
        <v>4.9777777777777779</v>
      </c>
      <c r="AF102">
        <v>1200</v>
      </c>
      <c r="AG102">
        <v>1200</v>
      </c>
      <c r="AH102" s="2">
        <f t="shared" si="48"/>
        <v>2400</v>
      </c>
      <c r="AI102" s="2">
        <f t="shared" si="49"/>
        <v>19200</v>
      </c>
      <c r="AJ102" s="2">
        <f t="shared" si="50"/>
        <v>5.333333333333333</v>
      </c>
      <c r="AK102">
        <v>1200</v>
      </c>
      <c r="AL102">
        <v>1200</v>
      </c>
      <c r="AM102" s="2">
        <f t="shared" si="51"/>
        <v>2400</v>
      </c>
      <c r="AN102" s="2">
        <f t="shared" si="52"/>
        <v>19200</v>
      </c>
      <c r="AO102" s="2">
        <f t="shared" si="53"/>
        <v>5.333333333333333</v>
      </c>
      <c r="AP102">
        <v>1200</v>
      </c>
      <c r="AQ102">
        <v>1200</v>
      </c>
      <c r="AR102" s="2">
        <f t="shared" si="54"/>
        <v>2400</v>
      </c>
      <c r="AS102" s="2">
        <f t="shared" si="55"/>
        <v>19200</v>
      </c>
      <c r="AT102" s="2">
        <f t="shared" si="56"/>
        <v>5.333333333333333</v>
      </c>
      <c r="AU102">
        <v>1120</v>
      </c>
      <c r="AV102">
        <v>1120</v>
      </c>
      <c r="AW102" s="2">
        <f t="shared" si="57"/>
        <v>2240</v>
      </c>
      <c r="AX102" s="2">
        <f t="shared" si="58"/>
        <v>17920</v>
      </c>
      <c r="AY102" s="2">
        <f t="shared" si="59"/>
        <v>4.9777777777777779</v>
      </c>
    </row>
    <row r="103" spans="1:51" x14ac:dyDescent="0.3">
      <c r="A103" s="2" t="s">
        <v>107</v>
      </c>
      <c r="F103" s="2">
        <f>AVERAGE(F3:F102)</f>
        <v>4.792888888888883</v>
      </c>
      <c r="K103" s="2">
        <f>AVERAGE(K3:K102)</f>
        <v>4.7395555555555493</v>
      </c>
      <c r="P103" s="2">
        <f>AVERAGE(P3:P102)</f>
        <v>4.7217777777777705</v>
      </c>
      <c r="U103" s="2">
        <f>AVERAGE(U3:U102)</f>
        <v>4.7217777777777723</v>
      </c>
      <c r="Z103" s="2">
        <f>AVERAGE(Z3:Z102)</f>
        <v>4.7715555555555493</v>
      </c>
      <c r="AE103" s="2">
        <f>AVERAGE(AE3:AE102)</f>
        <v>4.7573333333333281</v>
      </c>
      <c r="AJ103" s="2">
        <f>AVERAGE(AJ3:AJ102)</f>
        <v>4.6933333333333271</v>
      </c>
      <c r="AO103" s="2">
        <f>AVERAGE(AO3:AO102)</f>
        <v>4.7466666666666608</v>
      </c>
      <c r="AT103" s="2">
        <f>AVERAGE(AT3:AT102)</f>
        <v>4.792888888888883</v>
      </c>
      <c r="AY103" s="2">
        <f>AVERAGE(AY3:AY102)</f>
        <v>4.7786666666666608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3"/>
  <sheetViews>
    <sheetView topLeftCell="A79" workbookViewId="0">
      <selection activeCell="O106" sqref="O106"/>
    </sheetView>
  </sheetViews>
  <sheetFormatPr defaultRowHeight="14.4" x14ac:dyDescent="0.3"/>
  <cols>
    <col min="6" max="6" width="12.44140625" customWidth="1"/>
    <col min="11" max="11" width="12.44140625" customWidth="1"/>
    <col min="12" max="12" width="9.5546875" customWidth="1"/>
    <col min="16" max="16" width="14" customWidth="1"/>
    <col min="21" max="21" width="13" customWidth="1"/>
    <col min="26" max="26" width="14.88671875" customWidth="1"/>
    <col min="31" max="31" width="12.44140625" customWidth="1"/>
    <col min="36" max="36" width="12.109375" customWidth="1"/>
    <col min="41" max="41" width="13.6640625" customWidth="1"/>
  </cols>
  <sheetData>
    <row r="1" spans="1:51" x14ac:dyDescent="0.3">
      <c r="A1" s="1"/>
      <c r="B1" s="1" t="s">
        <v>0</v>
      </c>
      <c r="C1" s="1"/>
      <c r="D1" s="1"/>
      <c r="E1" s="1"/>
      <c r="F1" s="1"/>
      <c r="H1" s="1" t="s">
        <v>108</v>
      </c>
      <c r="I1" s="1"/>
      <c r="J1" s="1"/>
      <c r="K1" s="1"/>
      <c r="L1" s="1" t="s">
        <v>109</v>
      </c>
      <c r="M1" s="1"/>
      <c r="N1" s="1"/>
      <c r="O1" s="1"/>
      <c r="P1" s="1"/>
      <c r="R1" s="1" t="s">
        <v>110</v>
      </c>
      <c r="S1" s="1"/>
      <c r="T1" s="1"/>
      <c r="U1" s="1"/>
      <c r="V1" s="1" t="s">
        <v>114</v>
      </c>
      <c r="W1" s="1"/>
      <c r="X1" s="1"/>
      <c r="Y1" s="1"/>
      <c r="Z1" s="1"/>
      <c r="AB1" s="1" t="s">
        <v>115</v>
      </c>
      <c r="AC1" s="1"/>
      <c r="AD1" s="1"/>
      <c r="AE1" s="1"/>
      <c r="AF1" s="1" t="s">
        <v>116</v>
      </c>
      <c r="AG1" s="1"/>
      <c r="AH1" s="1"/>
      <c r="AI1" s="1"/>
      <c r="AJ1" s="1"/>
      <c r="AL1" s="1" t="s">
        <v>117</v>
      </c>
      <c r="AM1" s="1"/>
      <c r="AN1" s="1"/>
      <c r="AO1" s="1"/>
      <c r="AP1" s="1" t="s">
        <v>118</v>
      </c>
      <c r="AQ1" s="1"/>
      <c r="AR1" s="1"/>
      <c r="AS1" s="1"/>
      <c r="AT1" s="1"/>
      <c r="AV1" s="1" t="s">
        <v>119</v>
      </c>
      <c r="AW1" s="1"/>
      <c r="AX1" s="1"/>
      <c r="AY1" s="1"/>
    </row>
    <row r="2" spans="1:51" ht="69.59999999999999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111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112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113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125</v>
      </c>
      <c r="AA2" s="1" t="s">
        <v>2</v>
      </c>
      <c r="AB2" s="1" t="s">
        <v>3</v>
      </c>
      <c r="AC2" s="1" t="s">
        <v>4</v>
      </c>
      <c r="AD2" s="1" t="s">
        <v>5</v>
      </c>
      <c r="AE2" s="1" t="s">
        <v>124</v>
      </c>
      <c r="AF2" s="1" t="s">
        <v>2</v>
      </c>
      <c r="AG2" s="1" t="s">
        <v>3</v>
      </c>
      <c r="AH2" s="1" t="s">
        <v>4</v>
      </c>
      <c r="AI2" s="1" t="s">
        <v>5</v>
      </c>
      <c r="AJ2" s="1" t="s">
        <v>123</v>
      </c>
      <c r="AK2" s="1" t="s">
        <v>2</v>
      </c>
      <c r="AL2" s="1" t="s">
        <v>3</v>
      </c>
      <c r="AM2" s="1" t="s">
        <v>4</v>
      </c>
      <c r="AN2" s="1" t="s">
        <v>5</v>
      </c>
      <c r="AO2" s="1" t="s">
        <v>122</v>
      </c>
      <c r="AP2" s="1" t="s">
        <v>2</v>
      </c>
      <c r="AQ2" s="1" t="s">
        <v>3</v>
      </c>
      <c r="AR2" s="1" t="s">
        <v>4</v>
      </c>
      <c r="AS2" s="1" t="s">
        <v>5</v>
      </c>
      <c r="AT2" s="1" t="s">
        <v>121</v>
      </c>
      <c r="AU2" s="1" t="s">
        <v>2</v>
      </c>
      <c r="AV2" s="1" t="s">
        <v>3</v>
      </c>
      <c r="AW2" s="1" t="s">
        <v>4</v>
      </c>
      <c r="AX2" s="1" t="s">
        <v>5</v>
      </c>
      <c r="AY2" s="1" t="s">
        <v>120</v>
      </c>
    </row>
    <row r="3" spans="1:51" x14ac:dyDescent="0.3">
      <c r="A3" s="2" t="s">
        <v>7</v>
      </c>
      <c r="B3">
        <v>960</v>
      </c>
      <c r="C3">
        <v>960</v>
      </c>
      <c r="D3" s="2">
        <f>SUM(B3:C3)</f>
        <v>1920</v>
      </c>
      <c r="E3" s="2">
        <f>(D3*8)</f>
        <v>15360</v>
      </c>
      <c r="F3" s="2">
        <f>(E3/3600)</f>
        <v>4.2666666666666666</v>
      </c>
      <c r="G3">
        <v>960</v>
      </c>
      <c r="H3">
        <v>960</v>
      </c>
      <c r="I3" s="2">
        <f>SUM(G3:H3)</f>
        <v>1920</v>
      </c>
      <c r="J3" s="2">
        <f>(I3*8)</f>
        <v>15360</v>
      </c>
      <c r="K3" s="2">
        <f>(J3/3600)</f>
        <v>4.2666666666666666</v>
      </c>
      <c r="L3">
        <v>800</v>
      </c>
      <c r="M3">
        <v>800</v>
      </c>
      <c r="N3" s="2">
        <f>SUM(L3:M3)</f>
        <v>1600</v>
      </c>
      <c r="O3" s="2">
        <f>(N3*8)</f>
        <v>12800</v>
      </c>
      <c r="P3" s="2">
        <f>(O3/3600)</f>
        <v>3.5555555555555554</v>
      </c>
      <c r="Q3">
        <v>1040</v>
      </c>
      <c r="R3">
        <v>1040</v>
      </c>
      <c r="S3" s="2">
        <f>SUM(Q3:R3)</f>
        <v>2080</v>
      </c>
      <c r="T3" s="2">
        <f>(S3*8)</f>
        <v>16640</v>
      </c>
      <c r="U3" s="2">
        <f>(T3/3600)</f>
        <v>4.6222222222222218</v>
      </c>
      <c r="V3">
        <v>800</v>
      </c>
      <c r="W3">
        <v>800</v>
      </c>
      <c r="X3" s="2">
        <f>SUM(V3:W3)</f>
        <v>1600</v>
      </c>
      <c r="Y3" s="2">
        <f>(X3*8)</f>
        <v>12800</v>
      </c>
      <c r="Z3" s="2">
        <f>(Y3/3600)</f>
        <v>3.5555555555555554</v>
      </c>
      <c r="AA3">
        <v>1120</v>
      </c>
      <c r="AB3">
        <v>1120</v>
      </c>
      <c r="AC3" s="2">
        <f>SUM(AA3:AB3)</f>
        <v>2240</v>
      </c>
      <c r="AD3" s="2">
        <f>(AC3*8)</f>
        <v>17920</v>
      </c>
      <c r="AE3" s="2">
        <f>(AD3/3600)</f>
        <v>4.9777777777777779</v>
      </c>
      <c r="AF3">
        <v>1040</v>
      </c>
      <c r="AG3">
        <v>1040</v>
      </c>
      <c r="AH3" s="2">
        <f>SUM(AF3:AG3)</f>
        <v>2080</v>
      </c>
      <c r="AI3" s="2">
        <f>(AH3*8)</f>
        <v>16640</v>
      </c>
      <c r="AJ3" s="2">
        <f>(AI3/3600)</f>
        <v>4.6222222222222218</v>
      </c>
      <c r="AK3">
        <v>1040</v>
      </c>
      <c r="AL3">
        <v>1040</v>
      </c>
      <c r="AM3" s="2">
        <f>SUM(AK3:AL3)</f>
        <v>2080</v>
      </c>
      <c r="AN3" s="2">
        <f>(AM3*8)</f>
        <v>16640</v>
      </c>
      <c r="AO3" s="2">
        <f>(AN3/3600)</f>
        <v>4.6222222222222218</v>
      </c>
      <c r="AP3">
        <v>880</v>
      </c>
      <c r="AQ3">
        <v>880</v>
      </c>
      <c r="AR3" s="2">
        <f>SUM(AP3:AQ3)</f>
        <v>1760</v>
      </c>
      <c r="AS3" s="2">
        <f>(AR3*8)</f>
        <v>14080</v>
      </c>
      <c r="AT3" s="2">
        <f>(AS3/3600)</f>
        <v>3.911111111111111</v>
      </c>
      <c r="AU3">
        <v>960</v>
      </c>
      <c r="AV3">
        <v>960</v>
      </c>
      <c r="AW3" s="2">
        <f>SUM(AU3:AV3)</f>
        <v>1920</v>
      </c>
      <c r="AX3" s="2">
        <f>(AW3*8)</f>
        <v>15360</v>
      </c>
      <c r="AY3" s="2">
        <f>(AX3/3600)</f>
        <v>4.2666666666666666</v>
      </c>
    </row>
    <row r="4" spans="1:51" x14ac:dyDescent="0.3">
      <c r="A4" s="2" t="s">
        <v>8</v>
      </c>
      <c r="B4">
        <v>960</v>
      </c>
      <c r="C4">
        <v>960</v>
      </c>
      <c r="D4" s="2">
        <f t="shared" ref="D4:D67" si="0">SUM(B4:C4)</f>
        <v>1920</v>
      </c>
      <c r="E4" s="2">
        <f t="shared" ref="E4:E67" si="1">(D4*8)</f>
        <v>15360</v>
      </c>
      <c r="F4" s="2">
        <f t="shared" ref="F4:F67" si="2">(E4/3600)</f>
        <v>4.2666666666666666</v>
      </c>
      <c r="G4">
        <v>1120</v>
      </c>
      <c r="H4">
        <v>1120</v>
      </c>
      <c r="I4" s="2">
        <f t="shared" ref="I4:I67" si="3">SUM(G4:H4)</f>
        <v>2240</v>
      </c>
      <c r="J4" s="2">
        <f t="shared" ref="J4:J67" si="4">(I4*8)</f>
        <v>17920</v>
      </c>
      <c r="K4" s="2">
        <f t="shared" ref="K4:K67" si="5">(J4/3600)</f>
        <v>4.9777777777777779</v>
      </c>
      <c r="L4">
        <v>880</v>
      </c>
      <c r="M4">
        <v>880</v>
      </c>
      <c r="N4" s="2">
        <f t="shared" ref="N4:N67" si="6">SUM(L4:M4)</f>
        <v>1760</v>
      </c>
      <c r="O4" s="2">
        <f t="shared" ref="O4:O67" si="7">(N4*8)</f>
        <v>14080</v>
      </c>
      <c r="P4" s="2">
        <f t="shared" ref="P4:P67" si="8">(O4/3600)</f>
        <v>3.911111111111111</v>
      </c>
      <c r="Q4">
        <v>1120</v>
      </c>
      <c r="R4">
        <v>1120</v>
      </c>
      <c r="S4" s="2">
        <f t="shared" ref="S4:S67" si="9">SUM(Q4:R4)</f>
        <v>2240</v>
      </c>
      <c r="T4" s="2">
        <f t="shared" ref="T4:T67" si="10">(S4*8)</f>
        <v>17920</v>
      </c>
      <c r="U4" s="2">
        <f t="shared" ref="U4:U67" si="11">(T4/3600)</f>
        <v>4.9777777777777779</v>
      </c>
      <c r="V4">
        <v>1120</v>
      </c>
      <c r="W4">
        <v>1120</v>
      </c>
      <c r="X4" s="2">
        <f t="shared" ref="X4:X67" si="12">SUM(V4:W4)</f>
        <v>2240</v>
      </c>
      <c r="Y4" s="2">
        <f t="shared" ref="Y4:Y67" si="13">(X4*8)</f>
        <v>17920</v>
      </c>
      <c r="Z4" s="2">
        <f t="shared" ref="Z4:Z67" si="14">(Y4/3600)</f>
        <v>4.9777777777777779</v>
      </c>
      <c r="AA4">
        <v>1120</v>
      </c>
      <c r="AB4">
        <v>1120</v>
      </c>
      <c r="AC4" s="2">
        <f t="shared" ref="AC4:AC67" si="15">SUM(AA4:AB4)</f>
        <v>2240</v>
      </c>
      <c r="AD4" s="2">
        <f t="shared" ref="AD4:AD67" si="16">(AC4*8)</f>
        <v>17920</v>
      </c>
      <c r="AE4" s="2">
        <f t="shared" ref="AE4:AE67" si="17">(AD4/3600)</f>
        <v>4.9777777777777779</v>
      </c>
      <c r="AF4">
        <v>1280</v>
      </c>
      <c r="AG4">
        <v>1280</v>
      </c>
      <c r="AH4" s="2">
        <f t="shared" ref="AH4:AH67" si="18">SUM(AF4:AG4)</f>
        <v>2560</v>
      </c>
      <c r="AI4" s="2">
        <f t="shared" ref="AI4:AI67" si="19">(AH4*8)</f>
        <v>20480</v>
      </c>
      <c r="AJ4" s="2">
        <f t="shared" ref="AJ4:AJ67" si="20">(AI4/3600)</f>
        <v>5.6888888888888891</v>
      </c>
      <c r="AK4">
        <v>1040</v>
      </c>
      <c r="AL4">
        <v>1040</v>
      </c>
      <c r="AM4" s="2">
        <f t="shared" ref="AM4:AM67" si="21">SUM(AK4:AL4)</f>
        <v>2080</v>
      </c>
      <c r="AN4" s="2">
        <f t="shared" ref="AN4:AN67" si="22">(AM4*8)</f>
        <v>16640</v>
      </c>
      <c r="AO4" s="2">
        <f t="shared" ref="AO4:AO67" si="23">(AN4/3600)</f>
        <v>4.6222222222222218</v>
      </c>
      <c r="AP4">
        <v>1040</v>
      </c>
      <c r="AQ4">
        <v>1040</v>
      </c>
      <c r="AR4" s="2">
        <f t="shared" ref="AR4:AR67" si="24">SUM(AP4:AQ4)</f>
        <v>2080</v>
      </c>
      <c r="AS4" s="2">
        <f t="shared" ref="AS4:AS67" si="25">(AR4*8)</f>
        <v>16640</v>
      </c>
      <c r="AT4" s="2">
        <f t="shared" ref="AT4:AT67" si="26">(AS4/3600)</f>
        <v>4.6222222222222218</v>
      </c>
      <c r="AU4">
        <v>1280</v>
      </c>
      <c r="AV4">
        <v>1280</v>
      </c>
      <c r="AW4" s="2">
        <f t="shared" ref="AW4:AW67" si="27">SUM(AU4:AV4)</f>
        <v>2560</v>
      </c>
      <c r="AX4" s="2">
        <f t="shared" ref="AX4:AX67" si="28">(AW4*8)</f>
        <v>20480</v>
      </c>
      <c r="AY4" s="2">
        <f t="shared" ref="AY4:AY67" si="29">(AX4/3600)</f>
        <v>5.6888888888888891</v>
      </c>
    </row>
    <row r="5" spans="1:51" x14ac:dyDescent="0.3">
      <c r="A5" s="2" t="s">
        <v>9</v>
      </c>
      <c r="B5">
        <v>1200</v>
      </c>
      <c r="C5">
        <v>1200</v>
      </c>
      <c r="D5" s="2">
        <f t="shared" si="0"/>
        <v>2400</v>
      </c>
      <c r="E5" s="2">
        <f t="shared" si="1"/>
        <v>19200</v>
      </c>
      <c r="F5" s="2">
        <f t="shared" si="2"/>
        <v>5.333333333333333</v>
      </c>
      <c r="G5">
        <v>1120</v>
      </c>
      <c r="H5">
        <v>1120</v>
      </c>
      <c r="I5" s="2">
        <f t="shared" si="3"/>
        <v>2240</v>
      </c>
      <c r="J5" s="2">
        <f t="shared" si="4"/>
        <v>17920</v>
      </c>
      <c r="K5" s="2">
        <f t="shared" si="5"/>
        <v>4.9777777777777779</v>
      </c>
      <c r="L5">
        <v>1040</v>
      </c>
      <c r="M5">
        <v>1040</v>
      </c>
      <c r="N5" s="2">
        <f t="shared" si="6"/>
        <v>2080</v>
      </c>
      <c r="O5" s="2">
        <f t="shared" si="7"/>
        <v>16640</v>
      </c>
      <c r="P5" s="2">
        <f t="shared" si="8"/>
        <v>4.6222222222222218</v>
      </c>
      <c r="Q5">
        <v>1200</v>
      </c>
      <c r="R5">
        <v>1200</v>
      </c>
      <c r="S5" s="2">
        <f t="shared" si="9"/>
        <v>2400</v>
      </c>
      <c r="T5" s="2">
        <f t="shared" si="10"/>
        <v>19200</v>
      </c>
      <c r="U5" s="2">
        <f t="shared" si="11"/>
        <v>5.333333333333333</v>
      </c>
      <c r="V5">
        <v>1040</v>
      </c>
      <c r="W5">
        <v>1040</v>
      </c>
      <c r="X5" s="2">
        <f t="shared" si="12"/>
        <v>2080</v>
      </c>
      <c r="Y5" s="2">
        <f t="shared" si="13"/>
        <v>16640</v>
      </c>
      <c r="Z5" s="2">
        <f t="shared" si="14"/>
        <v>4.6222222222222218</v>
      </c>
      <c r="AA5">
        <v>1040</v>
      </c>
      <c r="AB5">
        <v>1040</v>
      </c>
      <c r="AC5" s="2">
        <f t="shared" si="15"/>
        <v>2080</v>
      </c>
      <c r="AD5" s="2">
        <f t="shared" si="16"/>
        <v>16640</v>
      </c>
      <c r="AE5" s="2">
        <f t="shared" si="17"/>
        <v>4.6222222222222218</v>
      </c>
      <c r="AF5">
        <v>1040</v>
      </c>
      <c r="AG5">
        <v>1040</v>
      </c>
      <c r="AH5" s="2">
        <f t="shared" si="18"/>
        <v>2080</v>
      </c>
      <c r="AI5" s="2">
        <f t="shared" si="19"/>
        <v>16640</v>
      </c>
      <c r="AJ5" s="2">
        <f t="shared" si="20"/>
        <v>4.6222222222222218</v>
      </c>
      <c r="AK5">
        <v>800</v>
      </c>
      <c r="AL5">
        <v>800</v>
      </c>
      <c r="AM5" s="2">
        <f t="shared" si="21"/>
        <v>1600</v>
      </c>
      <c r="AN5" s="2">
        <f t="shared" si="22"/>
        <v>12800</v>
      </c>
      <c r="AO5" s="2">
        <f t="shared" si="23"/>
        <v>3.5555555555555554</v>
      </c>
      <c r="AP5">
        <v>1120</v>
      </c>
      <c r="AQ5">
        <v>1120</v>
      </c>
      <c r="AR5" s="2">
        <f t="shared" si="24"/>
        <v>2240</v>
      </c>
      <c r="AS5" s="2">
        <f t="shared" si="25"/>
        <v>17920</v>
      </c>
      <c r="AT5" s="2">
        <f t="shared" si="26"/>
        <v>4.9777777777777779</v>
      </c>
      <c r="AU5">
        <v>1120</v>
      </c>
      <c r="AV5">
        <v>1120</v>
      </c>
      <c r="AW5" s="2">
        <f t="shared" si="27"/>
        <v>2240</v>
      </c>
      <c r="AX5" s="2">
        <f t="shared" si="28"/>
        <v>17920</v>
      </c>
      <c r="AY5" s="2">
        <f t="shared" si="29"/>
        <v>4.9777777777777779</v>
      </c>
    </row>
    <row r="6" spans="1:51" x14ac:dyDescent="0.3">
      <c r="A6" s="2" t="s">
        <v>10</v>
      </c>
      <c r="B6">
        <v>1120</v>
      </c>
      <c r="C6">
        <v>1120</v>
      </c>
      <c r="D6" s="2">
        <f t="shared" si="0"/>
        <v>2240</v>
      </c>
      <c r="E6" s="2">
        <f t="shared" si="1"/>
        <v>17920</v>
      </c>
      <c r="F6" s="2">
        <f t="shared" si="2"/>
        <v>4.9777777777777779</v>
      </c>
      <c r="G6">
        <v>960</v>
      </c>
      <c r="H6">
        <v>960</v>
      </c>
      <c r="I6" s="2">
        <f t="shared" si="3"/>
        <v>1920</v>
      </c>
      <c r="J6" s="2">
        <f t="shared" si="4"/>
        <v>15360</v>
      </c>
      <c r="K6" s="2">
        <f t="shared" si="5"/>
        <v>4.2666666666666666</v>
      </c>
      <c r="L6">
        <v>1120</v>
      </c>
      <c r="M6">
        <v>1120</v>
      </c>
      <c r="N6" s="2">
        <f t="shared" si="6"/>
        <v>2240</v>
      </c>
      <c r="O6" s="2">
        <f t="shared" si="7"/>
        <v>17920</v>
      </c>
      <c r="P6" s="2">
        <f t="shared" si="8"/>
        <v>4.9777777777777779</v>
      </c>
      <c r="Q6">
        <v>1040</v>
      </c>
      <c r="R6">
        <v>1040</v>
      </c>
      <c r="S6" s="2">
        <f t="shared" si="9"/>
        <v>2080</v>
      </c>
      <c r="T6" s="2">
        <f t="shared" si="10"/>
        <v>16640</v>
      </c>
      <c r="U6" s="2">
        <f t="shared" si="11"/>
        <v>4.6222222222222218</v>
      </c>
      <c r="V6">
        <v>1120</v>
      </c>
      <c r="W6">
        <v>1120</v>
      </c>
      <c r="X6" s="2">
        <f t="shared" si="12"/>
        <v>2240</v>
      </c>
      <c r="Y6" s="2">
        <f t="shared" si="13"/>
        <v>17920</v>
      </c>
      <c r="Z6" s="2">
        <f t="shared" si="14"/>
        <v>4.9777777777777779</v>
      </c>
      <c r="AA6">
        <v>1120</v>
      </c>
      <c r="AB6">
        <v>1120</v>
      </c>
      <c r="AC6" s="2">
        <f t="shared" si="15"/>
        <v>2240</v>
      </c>
      <c r="AD6" s="2">
        <f t="shared" si="16"/>
        <v>17920</v>
      </c>
      <c r="AE6" s="2">
        <f t="shared" si="17"/>
        <v>4.9777777777777779</v>
      </c>
      <c r="AF6">
        <v>1200</v>
      </c>
      <c r="AG6">
        <v>1200</v>
      </c>
      <c r="AH6" s="2">
        <f t="shared" si="18"/>
        <v>2400</v>
      </c>
      <c r="AI6" s="2">
        <f t="shared" si="19"/>
        <v>19200</v>
      </c>
      <c r="AJ6" s="2">
        <f t="shared" si="20"/>
        <v>5.333333333333333</v>
      </c>
      <c r="AK6">
        <v>1040</v>
      </c>
      <c r="AL6">
        <v>1040</v>
      </c>
      <c r="AM6" s="2">
        <f t="shared" si="21"/>
        <v>2080</v>
      </c>
      <c r="AN6" s="2">
        <f t="shared" si="22"/>
        <v>16640</v>
      </c>
      <c r="AO6" s="2">
        <f t="shared" si="23"/>
        <v>4.6222222222222218</v>
      </c>
      <c r="AP6">
        <v>1120</v>
      </c>
      <c r="AQ6">
        <v>1120</v>
      </c>
      <c r="AR6" s="2">
        <f t="shared" si="24"/>
        <v>2240</v>
      </c>
      <c r="AS6" s="2">
        <f t="shared" si="25"/>
        <v>17920</v>
      </c>
      <c r="AT6" s="2">
        <f t="shared" si="26"/>
        <v>4.9777777777777779</v>
      </c>
      <c r="AU6">
        <v>1200</v>
      </c>
      <c r="AV6">
        <v>1200</v>
      </c>
      <c r="AW6" s="2">
        <f t="shared" si="27"/>
        <v>2400</v>
      </c>
      <c r="AX6" s="2">
        <f t="shared" si="28"/>
        <v>19200</v>
      </c>
      <c r="AY6" s="2">
        <f t="shared" si="29"/>
        <v>5.333333333333333</v>
      </c>
    </row>
    <row r="7" spans="1:51" x14ac:dyDescent="0.3">
      <c r="A7" s="2" t="s">
        <v>11</v>
      </c>
      <c r="B7">
        <v>960</v>
      </c>
      <c r="C7">
        <v>960</v>
      </c>
      <c r="D7" s="2">
        <f t="shared" si="0"/>
        <v>1920</v>
      </c>
      <c r="E7" s="2">
        <f t="shared" si="1"/>
        <v>15360</v>
      </c>
      <c r="F7" s="2">
        <f t="shared" si="2"/>
        <v>4.2666666666666666</v>
      </c>
      <c r="G7">
        <v>880</v>
      </c>
      <c r="H7">
        <v>880</v>
      </c>
      <c r="I7" s="2">
        <f t="shared" si="3"/>
        <v>1760</v>
      </c>
      <c r="J7" s="2">
        <f t="shared" si="4"/>
        <v>14080</v>
      </c>
      <c r="K7" s="2">
        <f t="shared" si="5"/>
        <v>3.911111111111111</v>
      </c>
      <c r="L7">
        <v>960</v>
      </c>
      <c r="M7">
        <v>960</v>
      </c>
      <c r="N7" s="2">
        <f t="shared" si="6"/>
        <v>1920</v>
      </c>
      <c r="O7" s="2">
        <f t="shared" si="7"/>
        <v>15360</v>
      </c>
      <c r="P7" s="2">
        <f t="shared" si="8"/>
        <v>4.2666666666666666</v>
      </c>
      <c r="Q7">
        <v>1120</v>
      </c>
      <c r="R7">
        <v>1120</v>
      </c>
      <c r="S7" s="2">
        <f t="shared" si="9"/>
        <v>2240</v>
      </c>
      <c r="T7" s="2">
        <f t="shared" si="10"/>
        <v>17920</v>
      </c>
      <c r="U7" s="2">
        <f t="shared" si="11"/>
        <v>4.9777777777777779</v>
      </c>
      <c r="V7">
        <v>1120</v>
      </c>
      <c r="W7">
        <v>1120</v>
      </c>
      <c r="X7" s="2">
        <f t="shared" si="12"/>
        <v>2240</v>
      </c>
      <c r="Y7" s="2">
        <f t="shared" si="13"/>
        <v>17920</v>
      </c>
      <c r="Z7" s="2">
        <f t="shared" si="14"/>
        <v>4.9777777777777779</v>
      </c>
      <c r="AA7">
        <v>1200</v>
      </c>
      <c r="AB7">
        <v>1200</v>
      </c>
      <c r="AC7" s="2">
        <f t="shared" si="15"/>
        <v>2400</v>
      </c>
      <c r="AD7" s="2">
        <f t="shared" si="16"/>
        <v>19200</v>
      </c>
      <c r="AE7" s="2">
        <f t="shared" si="17"/>
        <v>5.333333333333333</v>
      </c>
      <c r="AF7">
        <v>1040</v>
      </c>
      <c r="AG7">
        <v>1040</v>
      </c>
      <c r="AH7" s="2">
        <f t="shared" si="18"/>
        <v>2080</v>
      </c>
      <c r="AI7" s="2">
        <f t="shared" si="19"/>
        <v>16640</v>
      </c>
      <c r="AJ7" s="2">
        <f t="shared" si="20"/>
        <v>4.6222222222222218</v>
      </c>
      <c r="AK7">
        <v>880</v>
      </c>
      <c r="AL7">
        <v>880</v>
      </c>
      <c r="AM7" s="2">
        <f t="shared" si="21"/>
        <v>1760</v>
      </c>
      <c r="AN7" s="2">
        <f t="shared" si="22"/>
        <v>14080</v>
      </c>
      <c r="AO7" s="2">
        <f t="shared" si="23"/>
        <v>3.911111111111111</v>
      </c>
      <c r="AP7">
        <v>880</v>
      </c>
      <c r="AQ7">
        <v>880</v>
      </c>
      <c r="AR7" s="2">
        <f t="shared" si="24"/>
        <v>1760</v>
      </c>
      <c r="AS7" s="2">
        <f t="shared" si="25"/>
        <v>14080</v>
      </c>
      <c r="AT7" s="2">
        <f t="shared" si="26"/>
        <v>3.911111111111111</v>
      </c>
      <c r="AU7">
        <v>960</v>
      </c>
      <c r="AV7">
        <v>960</v>
      </c>
      <c r="AW7" s="2">
        <f t="shared" si="27"/>
        <v>1920</v>
      </c>
      <c r="AX7" s="2">
        <f t="shared" si="28"/>
        <v>15360</v>
      </c>
      <c r="AY7" s="2">
        <f t="shared" si="29"/>
        <v>4.2666666666666666</v>
      </c>
    </row>
    <row r="8" spans="1:51" x14ac:dyDescent="0.3">
      <c r="A8" s="2" t="s">
        <v>12</v>
      </c>
      <c r="B8">
        <v>1200</v>
      </c>
      <c r="C8">
        <v>1200</v>
      </c>
      <c r="D8" s="2">
        <f t="shared" si="0"/>
        <v>2400</v>
      </c>
      <c r="E8" s="2">
        <f t="shared" si="1"/>
        <v>19200</v>
      </c>
      <c r="F8" s="2">
        <f t="shared" si="2"/>
        <v>5.333333333333333</v>
      </c>
      <c r="G8">
        <v>1120</v>
      </c>
      <c r="H8">
        <v>1120</v>
      </c>
      <c r="I8" s="2">
        <f t="shared" si="3"/>
        <v>2240</v>
      </c>
      <c r="J8" s="2">
        <f t="shared" si="4"/>
        <v>17920</v>
      </c>
      <c r="K8" s="2">
        <f t="shared" si="5"/>
        <v>4.9777777777777779</v>
      </c>
      <c r="L8">
        <v>1120</v>
      </c>
      <c r="M8">
        <v>1120</v>
      </c>
      <c r="N8" s="2">
        <f t="shared" si="6"/>
        <v>2240</v>
      </c>
      <c r="O8" s="2">
        <f t="shared" si="7"/>
        <v>17920</v>
      </c>
      <c r="P8" s="2">
        <f t="shared" si="8"/>
        <v>4.9777777777777779</v>
      </c>
      <c r="Q8">
        <v>1120</v>
      </c>
      <c r="R8">
        <v>1120</v>
      </c>
      <c r="S8" s="2">
        <f t="shared" si="9"/>
        <v>2240</v>
      </c>
      <c r="T8" s="2">
        <f t="shared" si="10"/>
        <v>17920</v>
      </c>
      <c r="U8" s="2">
        <f t="shared" si="11"/>
        <v>4.9777777777777779</v>
      </c>
      <c r="V8">
        <v>960</v>
      </c>
      <c r="W8">
        <v>960</v>
      </c>
      <c r="X8" s="2">
        <f t="shared" si="12"/>
        <v>1920</v>
      </c>
      <c r="Y8" s="2">
        <f t="shared" si="13"/>
        <v>15360</v>
      </c>
      <c r="Z8" s="2">
        <f t="shared" si="14"/>
        <v>4.2666666666666666</v>
      </c>
      <c r="AA8">
        <v>960</v>
      </c>
      <c r="AB8">
        <v>960</v>
      </c>
      <c r="AC8" s="2">
        <f t="shared" si="15"/>
        <v>1920</v>
      </c>
      <c r="AD8" s="2">
        <f t="shared" si="16"/>
        <v>15360</v>
      </c>
      <c r="AE8" s="2">
        <f t="shared" si="17"/>
        <v>4.2666666666666666</v>
      </c>
      <c r="AF8">
        <v>1280</v>
      </c>
      <c r="AG8">
        <v>1280</v>
      </c>
      <c r="AH8" s="2">
        <f t="shared" si="18"/>
        <v>2560</v>
      </c>
      <c r="AI8" s="2">
        <f t="shared" si="19"/>
        <v>20480</v>
      </c>
      <c r="AJ8" s="2">
        <f t="shared" si="20"/>
        <v>5.6888888888888891</v>
      </c>
      <c r="AK8">
        <v>1040</v>
      </c>
      <c r="AL8">
        <v>1040</v>
      </c>
      <c r="AM8" s="2">
        <f t="shared" si="21"/>
        <v>2080</v>
      </c>
      <c r="AN8" s="2">
        <f t="shared" si="22"/>
        <v>16640</v>
      </c>
      <c r="AO8" s="2">
        <f t="shared" si="23"/>
        <v>4.6222222222222218</v>
      </c>
      <c r="AP8">
        <v>1200</v>
      </c>
      <c r="AQ8">
        <v>1200</v>
      </c>
      <c r="AR8" s="2">
        <f t="shared" si="24"/>
        <v>2400</v>
      </c>
      <c r="AS8" s="2">
        <f t="shared" si="25"/>
        <v>19200</v>
      </c>
      <c r="AT8" s="2">
        <f t="shared" si="26"/>
        <v>5.333333333333333</v>
      </c>
      <c r="AU8">
        <v>880</v>
      </c>
      <c r="AV8">
        <v>880</v>
      </c>
      <c r="AW8" s="2">
        <f t="shared" si="27"/>
        <v>1760</v>
      </c>
      <c r="AX8" s="2">
        <f t="shared" si="28"/>
        <v>14080</v>
      </c>
      <c r="AY8" s="2">
        <f t="shared" si="29"/>
        <v>3.911111111111111</v>
      </c>
    </row>
    <row r="9" spans="1:51" x14ac:dyDescent="0.3">
      <c r="A9" s="2" t="s">
        <v>13</v>
      </c>
      <c r="B9">
        <v>1040</v>
      </c>
      <c r="C9">
        <v>1040</v>
      </c>
      <c r="D9" s="2">
        <f t="shared" si="0"/>
        <v>2080</v>
      </c>
      <c r="E9" s="2">
        <f t="shared" si="1"/>
        <v>16640</v>
      </c>
      <c r="F9" s="2">
        <f t="shared" si="2"/>
        <v>4.6222222222222218</v>
      </c>
      <c r="G9">
        <v>1120</v>
      </c>
      <c r="H9">
        <v>1120</v>
      </c>
      <c r="I9" s="2">
        <f t="shared" si="3"/>
        <v>2240</v>
      </c>
      <c r="J9" s="2">
        <f t="shared" si="4"/>
        <v>17920</v>
      </c>
      <c r="K9" s="2">
        <f t="shared" si="5"/>
        <v>4.9777777777777779</v>
      </c>
      <c r="L9">
        <v>880</v>
      </c>
      <c r="M9">
        <v>880</v>
      </c>
      <c r="N9" s="2">
        <f t="shared" si="6"/>
        <v>1760</v>
      </c>
      <c r="O9" s="2">
        <f t="shared" si="7"/>
        <v>14080</v>
      </c>
      <c r="P9" s="2">
        <f t="shared" si="8"/>
        <v>3.911111111111111</v>
      </c>
      <c r="Q9">
        <v>960</v>
      </c>
      <c r="R9">
        <v>960</v>
      </c>
      <c r="S9" s="2">
        <f t="shared" si="9"/>
        <v>1920</v>
      </c>
      <c r="T9" s="2">
        <f t="shared" si="10"/>
        <v>15360</v>
      </c>
      <c r="U9" s="2">
        <f t="shared" si="11"/>
        <v>4.2666666666666666</v>
      </c>
      <c r="V9">
        <v>960</v>
      </c>
      <c r="W9">
        <v>960</v>
      </c>
      <c r="X9" s="2">
        <f t="shared" si="12"/>
        <v>1920</v>
      </c>
      <c r="Y9" s="2">
        <f t="shared" si="13"/>
        <v>15360</v>
      </c>
      <c r="Z9" s="2">
        <f t="shared" si="14"/>
        <v>4.2666666666666666</v>
      </c>
      <c r="AA9">
        <v>960</v>
      </c>
      <c r="AB9">
        <v>960</v>
      </c>
      <c r="AC9" s="2">
        <f t="shared" si="15"/>
        <v>1920</v>
      </c>
      <c r="AD9" s="2">
        <f t="shared" si="16"/>
        <v>15360</v>
      </c>
      <c r="AE9" s="2">
        <f t="shared" si="17"/>
        <v>4.2666666666666666</v>
      </c>
      <c r="AF9">
        <v>1040</v>
      </c>
      <c r="AG9">
        <v>1040</v>
      </c>
      <c r="AH9" s="2">
        <f t="shared" si="18"/>
        <v>2080</v>
      </c>
      <c r="AI9" s="2">
        <f t="shared" si="19"/>
        <v>16640</v>
      </c>
      <c r="AJ9" s="2">
        <f t="shared" si="20"/>
        <v>4.6222222222222218</v>
      </c>
      <c r="AK9">
        <v>800</v>
      </c>
      <c r="AL9">
        <v>800</v>
      </c>
      <c r="AM9" s="2">
        <f t="shared" si="21"/>
        <v>1600</v>
      </c>
      <c r="AN9" s="2">
        <f t="shared" si="22"/>
        <v>12800</v>
      </c>
      <c r="AO9" s="2">
        <f t="shared" si="23"/>
        <v>3.5555555555555554</v>
      </c>
      <c r="AP9">
        <v>960</v>
      </c>
      <c r="AQ9">
        <v>960</v>
      </c>
      <c r="AR9" s="2">
        <f t="shared" si="24"/>
        <v>1920</v>
      </c>
      <c r="AS9" s="2">
        <f t="shared" si="25"/>
        <v>15360</v>
      </c>
      <c r="AT9" s="2">
        <f t="shared" si="26"/>
        <v>4.2666666666666666</v>
      </c>
      <c r="AU9">
        <v>880</v>
      </c>
      <c r="AV9">
        <v>880</v>
      </c>
      <c r="AW9" s="2">
        <f t="shared" si="27"/>
        <v>1760</v>
      </c>
      <c r="AX9" s="2">
        <f t="shared" si="28"/>
        <v>14080</v>
      </c>
      <c r="AY9" s="2">
        <f t="shared" si="29"/>
        <v>3.911111111111111</v>
      </c>
    </row>
    <row r="10" spans="1:51" x14ac:dyDescent="0.3">
      <c r="A10" s="2" t="s">
        <v>14</v>
      </c>
      <c r="B10">
        <v>1040</v>
      </c>
      <c r="C10">
        <v>1040</v>
      </c>
      <c r="D10" s="2">
        <f t="shared" si="0"/>
        <v>2080</v>
      </c>
      <c r="E10" s="2">
        <f t="shared" si="1"/>
        <v>16640</v>
      </c>
      <c r="F10" s="2">
        <f t="shared" si="2"/>
        <v>4.6222222222222218</v>
      </c>
      <c r="G10">
        <v>1280</v>
      </c>
      <c r="H10">
        <v>1280</v>
      </c>
      <c r="I10" s="2">
        <f t="shared" si="3"/>
        <v>2560</v>
      </c>
      <c r="J10" s="2">
        <f t="shared" si="4"/>
        <v>20480</v>
      </c>
      <c r="K10" s="2">
        <f t="shared" si="5"/>
        <v>5.6888888888888891</v>
      </c>
      <c r="L10">
        <v>1120</v>
      </c>
      <c r="M10">
        <v>1120</v>
      </c>
      <c r="N10" s="2">
        <f t="shared" si="6"/>
        <v>2240</v>
      </c>
      <c r="O10" s="2">
        <f t="shared" si="7"/>
        <v>17920</v>
      </c>
      <c r="P10" s="2">
        <f t="shared" si="8"/>
        <v>4.9777777777777779</v>
      </c>
      <c r="Q10">
        <v>1040</v>
      </c>
      <c r="R10">
        <v>1040</v>
      </c>
      <c r="S10" s="2">
        <f t="shared" si="9"/>
        <v>2080</v>
      </c>
      <c r="T10" s="2">
        <f t="shared" si="10"/>
        <v>16640</v>
      </c>
      <c r="U10" s="2">
        <f t="shared" si="11"/>
        <v>4.6222222222222218</v>
      </c>
      <c r="V10">
        <v>880</v>
      </c>
      <c r="W10">
        <v>880</v>
      </c>
      <c r="X10" s="2">
        <f t="shared" si="12"/>
        <v>1760</v>
      </c>
      <c r="Y10" s="2">
        <f t="shared" si="13"/>
        <v>14080</v>
      </c>
      <c r="Z10" s="2">
        <f t="shared" si="14"/>
        <v>3.911111111111111</v>
      </c>
      <c r="AA10">
        <v>1040</v>
      </c>
      <c r="AB10">
        <v>1040</v>
      </c>
      <c r="AC10" s="2">
        <f t="shared" si="15"/>
        <v>2080</v>
      </c>
      <c r="AD10" s="2">
        <f t="shared" si="16"/>
        <v>16640</v>
      </c>
      <c r="AE10" s="2">
        <f t="shared" si="17"/>
        <v>4.6222222222222218</v>
      </c>
      <c r="AF10">
        <v>1120</v>
      </c>
      <c r="AG10">
        <v>1120</v>
      </c>
      <c r="AH10" s="2">
        <f t="shared" si="18"/>
        <v>2240</v>
      </c>
      <c r="AI10" s="2">
        <f t="shared" si="19"/>
        <v>17920</v>
      </c>
      <c r="AJ10" s="2">
        <f t="shared" si="20"/>
        <v>4.9777777777777779</v>
      </c>
      <c r="AK10">
        <v>1040</v>
      </c>
      <c r="AL10">
        <v>1040</v>
      </c>
      <c r="AM10" s="2">
        <f t="shared" si="21"/>
        <v>2080</v>
      </c>
      <c r="AN10" s="2">
        <f t="shared" si="22"/>
        <v>16640</v>
      </c>
      <c r="AO10" s="2">
        <f t="shared" si="23"/>
        <v>4.6222222222222218</v>
      </c>
      <c r="AP10">
        <v>880</v>
      </c>
      <c r="AQ10">
        <v>880</v>
      </c>
      <c r="AR10" s="2">
        <f t="shared" si="24"/>
        <v>1760</v>
      </c>
      <c r="AS10" s="2">
        <f t="shared" si="25"/>
        <v>14080</v>
      </c>
      <c r="AT10" s="2">
        <f t="shared" si="26"/>
        <v>3.911111111111111</v>
      </c>
      <c r="AU10">
        <v>960</v>
      </c>
      <c r="AV10">
        <v>960</v>
      </c>
      <c r="AW10" s="2">
        <f t="shared" si="27"/>
        <v>1920</v>
      </c>
      <c r="AX10" s="2">
        <f t="shared" si="28"/>
        <v>15360</v>
      </c>
      <c r="AY10" s="2">
        <f t="shared" si="29"/>
        <v>4.2666666666666666</v>
      </c>
    </row>
    <row r="11" spans="1:51" x14ac:dyDescent="0.3">
      <c r="A11" s="2" t="s">
        <v>15</v>
      </c>
      <c r="B11">
        <v>1120</v>
      </c>
      <c r="C11">
        <v>1120</v>
      </c>
      <c r="D11" s="2">
        <f t="shared" si="0"/>
        <v>2240</v>
      </c>
      <c r="E11" s="2">
        <f t="shared" si="1"/>
        <v>17920</v>
      </c>
      <c r="F11" s="2">
        <f t="shared" si="2"/>
        <v>4.9777777777777779</v>
      </c>
      <c r="G11">
        <v>1120</v>
      </c>
      <c r="H11">
        <v>1120</v>
      </c>
      <c r="I11" s="2">
        <f t="shared" si="3"/>
        <v>2240</v>
      </c>
      <c r="J11" s="2">
        <f t="shared" si="4"/>
        <v>17920</v>
      </c>
      <c r="K11" s="2">
        <f t="shared" si="5"/>
        <v>4.9777777777777779</v>
      </c>
      <c r="L11">
        <v>960</v>
      </c>
      <c r="M11">
        <v>960</v>
      </c>
      <c r="N11" s="2">
        <f t="shared" si="6"/>
        <v>1920</v>
      </c>
      <c r="O11" s="2">
        <f t="shared" si="7"/>
        <v>15360</v>
      </c>
      <c r="P11" s="2">
        <f t="shared" si="8"/>
        <v>4.2666666666666666</v>
      </c>
      <c r="Q11">
        <v>960</v>
      </c>
      <c r="R11">
        <v>960</v>
      </c>
      <c r="S11" s="2">
        <f t="shared" si="9"/>
        <v>1920</v>
      </c>
      <c r="T11" s="2">
        <f t="shared" si="10"/>
        <v>15360</v>
      </c>
      <c r="U11" s="2">
        <f t="shared" si="11"/>
        <v>4.2666666666666666</v>
      </c>
      <c r="V11">
        <v>1040</v>
      </c>
      <c r="W11">
        <v>1040</v>
      </c>
      <c r="X11" s="2">
        <f t="shared" si="12"/>
        <v>2080</v>
      </c>
      <c r="Y11" s="2">
        <f t="shared" si="13"/>
        <v>16640</v>
      </c>
      <c r="Z11" s="2">
        <f t="shared" si="14"/>
        <v>4.6222222222222218</v>
      </c>
      <c r="AA11">
        <v>960</v>
      </c>
      <c r="AB11">
        <v>960</v>
      </c>
      <c r="AC11" s="2">
        <f t="shared" si="15"/>
        <v>1920</v>
      </c>
      <c r="AD11" s="2">
        <f t="shared" si="16"/>
        <v>15360</v>
      </c>
      <c r="AE11" s="2">
        <f t="shared" si="17"/>
        <v>4.2666666666666666</v>
      </c>
      <c r="AF11">
        <v>960</v>
      </c>
      <c r="AG11">
        <v>960</v>
      </c>
      <c r="AH11" s="2">
        <f t="shared" si="18"/>
        <v>1920</v>
      </c>
      <c r="AI11" s="2">
        <f t="shared" si="19"/>
        <v>15360</v>
      </c>
      <c r="AJ11" s="2">
        <f t="shared" si="20"/>
        <v>4.2666666666666666</v>
      </c>
      <c r="AK11">
        <v>1040</v>
      </c>
      <c r="AL11">
        <v>1040</v>
      </c>
      <c r="AM11" s="2">
        <f t="shared" si="21"/>
        <v>2080</v>
      </c>
      <c r="AN11" s="2">
        <f t="shared" si="22"/>
        <v>16640</v>
      </c>
      <c r="AO11" s="2">
        <f t="shared" si="23"/>
        <v>4.6222222222222218</v>
      </c>
      <c r="AP11">
        <v>1120</v>
      </c>
      <c r="AQ11">
        <v>1120</v>
      </c>
      <c r="AR11" s="2">
        <f t="shared" si="24"/>
        <v>2240</v>
      </c>
      <c r="AS11" s="2">
        <f t="shared" si="25"/>
        <v>17920</v>
      </c>
      <c r="AT11" s="2">
        <f t="shared" si="26"/>
        <v>4.9777777777777779</v>
      </c>
      <c r="AU11">
        <v>1120</v>
      </c>
      <c r="AV11">
        <v>1120</v>
      </c>
      <c r="AW11" s="2">
        <f t="shared" si="27"/>
        <v>2240</v>
      </c>
      <c r="AX11" s="2">
        <f t="shared" si="28"/>
        <v>17920</v>
      </c>
      <c r="AY11" s="2">
        <f t="shared" si="29"/>
        <v>4.9777777777777779</v>
      </c>
    </row>
    <row r="12" spans="1:51" x14ac:dyDescent="0.3">
      <c r="A12" s="2" t="s">
        <v>16</v>
      </c>
      <c r="B12">
        <v>1120</v>
      </c>
      <c r="C12">
        <v>1120</v>
      </c>
      <c r="D12" s="2">
        <f t="shared" si="0"/>
        <v>2240</v>
      </c>
      <c r="E12" s="2">
        <f t="shared" si="1"/>
        <v>17920</v>
      </c>
      <c r="F12" s="2">
        <f t="shared" si="2"/>
        <v>4.9777777777777779</v>
      </c>
      <c r="G12">
        <v>1040</v>
      </c>
      <c r="H12">
        <v>1040</v>
      </c>
      <c r="I12" s="2">
        <f t="shared" si="3"/>
        <v>2080</v>
      </c>
      <c r="J12" s="2">
        <f t="shared" si="4"/>
        <v>16640</v>
      </c>
      <c r="K12" s="2">
        <f t="shared" si="5"/>
        <v>4.6222222222222218</v>
      </c>
      <c r="L12">
        <v>1120</v>
      </c>
      <c r="M12">
        <v>1120</v>
      </c>
      <c r="N12" s="2">
        <f t="shared" si="6"/>
        <v>2240</v>
      </c>
      <c r="O12" s="2">
        <f t="shared" si="7"/>
        <v>17920</v>
      </c>
      <c r="P12" s="2">
        <f t="shared" si="8"/>
        <v>4.9777777777777779</v>
      </c>
      <c r="Q12">
        <v>880</v>
      </c>
      <c r="R12">
        <v>880</v>
      </c>
      <c r="S12" s="2">
        <f t="shared" si="9"/>
        <v>1760</v>
      </c>
      <c r="T12" s="2">
        <f t="shared" si="10"/>
        <v>14080</v>
      </c>
      <c r="U12" s="2">
        <f t="shared" si="11"/>
        <v>3.911111111111111</v>
      </c>
      <c r="V12">
        <v>1120</v>
      </c>
      <c r="W12">
        <v>1120</v>
      </c>
      <c r="X12" s="2">
        <f t="shared" si="12"/>
        <v>2240</v>
      </c>
      <c r="Y12" s="2">
        <f t="shared" si="13"/>
        <v>17920</v>
      </c>
      <c r="Z12" s="2">
        <f t="shared" si="14"/>
        <v>4.9777777777777779</v>
      </c>
      <c r="AA12">
        <v>1200</v>
      </c>
      <c r="AB12">
        <v>1200</v>
      </c>
      <c r="AC12" s="2">
        <f t="shared" si="15"/>
        <v>2400</v>
      </c>
      <c r="AD12" s="2">
        <f t="shared" si="16"/>
        <v>19200</v>
      </c>
      <c r="AE12" s="2">
        <f t="shared" si="17"/>
        <v>5.333333333333333</v>
      </c>
      <c r="AF12">
        <v>1120</v>
      </c>
      <c r="AG12">
        <v>1120</v>
      </c>
      <c r="AH12" s="2">
        <f t="shared" si="18"/>
        <v>2240</v>
      </c>
      <c r="AI12" s="2">
        <f t="shared" si="19"/>
        <v>17920</v>
      </c>
      <c r="AJ12" s="2">
        <f t="shared" si="20"/>
        <v>4.9777777777777779</v>
      </c>
      <c r="AK12">
        <v>1200</v>
      </c>
      <c r="AL12">
        <v>1200</v>
      </c>
      <c r="AM12" s="2">
        <f t="shared" si="21"/>
        <v>2400</v>
      </c>
      <c r="AN12" s="2">
        <f t="shared" si="22"/>
        <v>19200</v>
      </c>
      <c r="AO12" s="2">
        <f t="shared" si="23"/>
        <v>5.333333333333333</v>
      </c>
      <c r="AP12">
        <v>1040</v>
      </c>
      <c r="AQ12">
        <v>1040</v>
      </c>
      <c r="AR12" s="2">
        <f t="shared" si="24"/>
        <v>2080</v>
      </c>
      <c r="AS12" s="2">
        <f t="shared" si="25"/>
        <v>16640</v>
      </c>
      <c r="AT12" s="2">
        <f t="shared" si="26"/>
        <v>4.6222222222222218</v>
      </c>
      <c r="AU12">
        <v>1040</v>
      </c>
      <c r="AV12">
        <v>1040</v>
      </c>
      <c r="AW12" s="2">
        <f t="shared" si="27"/>
        <v>2080</v>
      </c>
      <c r="AX12" s="2">
        <f t="shared" si="28"/>
        <v>16640</v>
      </c>
      <c r="AY12" s="2">
        <f t="shared" si="29"/>
        <v>4.6222222222222218</v>
      </c>
    </row>
    <row r="13" spans="1:51" x14ac:dyDescent="0.3">
      <c r="A13" s="2" t="s">
        <v>17</v>
      </c>
      <c r="B13">
        <v>880</v>
      </c>
      <c r="C13">
        <v>880</v>
      </c>
      <c r="D13" s="2">
        <f t="shared" si="0"/>
        <v>1760</v>
      </c>
      <c r="E13" s="2">
        <f t="shared" si="1"/>
        <v>14080</v>
      </c>
      <c r="F13" s="2">
        <f t="shared" si="2"/>
        <v>3.911111111111111</v>
      </c>
      <c r="G13">
        <v>1120</v>
      </c>
      <c r="H13">
        <v>1120</v>
      </c>
      <c r="I13" s="2">
        <f t="shared" si="3"/>
        <v>2240</v>
      </c>
      <c r="J13" s="2">
        <f t="shared" si="4"/>
        <v>17920</v>
      </c>
      <c r="K13" s="2">
        <f t="shared" si="5"/>
        <v>4.9777777777777779</v>
      </c>
      <c r="L13">
        <v>1200</v>
      </c>
      <c r="M13">
        <v>1200</v>
      </c>
      <c r="N13" s="2">
        <f t="shared" si="6"/>
        <v>2400</v>
      </c>
      <c r="O13" s="2">
        <f t="shared" si="7"/>
        <v>19200</v>
      </c>
      <c r="P13" s="2">
        <f t="shared" si="8"/>
        <v>5.333333333333333</v>
      </c>
      <c r="Q13">
        <v>1040</v>
      </c>
      <c r="R13">
        <v>1040</v>
      </c>
      <c r="S13" s="2">
        <f t="shared" si="9"/>
        <v>2080</v>
      </c>
      <c r="T13" s="2">
        <f t="shared" si="10"/>
        <v>16640</v>
      </c>
      <c r="U13" s="2">
        <f t="shared" si="11"/>
        <v>4.6222222222222218</v>
      </c>
      <c r="V13">
        <v>1040</v>
      </c>
      <c r="W13">
        <v>1040</v>
      </c>
      <c r="X13" s="2">
        <f t="shared" si="12"/>
        <v>2080</v>
      </c>
      <c r="Y13" s="2">
        <f t="shared" si="13"/>
        <v>16640</v>
      </c>
      <c r="Z13" s="2">
        <f t="shared" si="14"/>
        <v>4.6222222222222218</v>
      </c>
      <c r="AA13">
        <v>1120</v>
      </c>
      <c r="AB13">
        <v>1120</v>
      </c>
      <c r="AC13" s="2">
        <f t="shared" si="15"/>
        <v>2240</v>
      </c>
      <c r="AD13" s="2">
        <f t="shared" si="16"/>
        <v>17920</v>
      </c>
      <c r="AE13" s="2">
        <f t="shared" si="17"/>
        <v>4.9777777777777779</v>
      </c>
      <c r="AF13">
        <v>800</v>
      </c>
      <c r="AG13">
        <v>800</v>
      </c>
      <c r="AH13" s="2">
        <f t="shared" si="18"/>
        <v>1600</v>
      </c>
      <c r="AI13" s="2">
        <f t="shared" si="19"/>
        <v>12800</v>
      </c>
      <c r="AJ13" s="2">
        <f t="shared" si="20"/>
        <v>3.5555555555555554</v>
      </c>
      <c r="AK13">
        <v>960</v>
      </c>
      <c r="AL13">
        <v>960</v>
      </c>
      <c r="AM13" s="2">
        <f t="shared" si="21"/>
        <v>1920</v>
      </c>
      <c r="AN13" s="2">
        <f t="shared" si="22"/>
        <v>15360</v>
      </c>
      <c r="AO13" s="2">
        <f t="shared" si="23"/>
        <v>4.2666666666666666</v>
      </c>
      <c r="AP13">
        <v>960</v>
      </c>
      <c r="AQ13">
        <v>960</v>
      </c>
      <c r="AR13" s="2">
        <f t="shared" si="24"/>
        <v>1920</v>
      </c>
      <c r="AS13" s="2">
        <f t="shared" si="25"/>
        <v>15360</v>
      </c>
      <c r="AT13" s="2">
        <f t="shared" si="26"/>
        <v>4.2666666666666666</v>
      </c>
      <c r="AU13">
        <v>1200</v>
      </c>
      <c r="AV13">
        <v>1200</v>
      </c>
      <c r="AW13" s="2">
        <f t="shared" si="27"/>
        <v>2400</v>
      </c>
      <c r="AX13" s="2">
        <f t="shared" si="28"/>
        <v>19200</v>
      </c>
      <c r="AY13" s="2">
        <f t="shared" si="29"/>
        <v>5.333333333333333</v>
      </c>
    </row>
    <row r="14" spans="1:51" x14ac:dyDescent="0.3">
      <c r="A14" s="2" t="s">
        <v>18</v>
      </c>
      <c r="B14">
        <v>1040</v>
      </c>
      <c r="C14">
        <v>1040</v>
      </c>
      <c r="D14" s="2">
        <f t="shared" si="0"/>
        <v>2080</v>
      </c>
      <c r="E14" s="2">
        <f t="shared" si="1"/>
        <v>16640</v>
      </c>
      <c r="F14" s="2">
        <f t="shared" si="2"/>
        <v>4.6222222222222218</v>
      </c>
      <c r="G14">
        <v>1280</v>
      </c>
      <c r="H14">
        <v>1280</v>
      </c>
      <c r="I14" s="2">
        <f t="shared" si="3"/>
        <v>2560</v>
      </c>
      <c r="J14" s="2">
        <f t="shared" si="4"/>
        <v>20480</v>
      </c>
      <c r="K14" s="2">
        <f t="shared" si="5"/>
        <v>5.6888888888888891</v>
      </c>
      <c r="L14">
        <v>960</v>
      </c>
      <c r="M14">
        <v>960</v>
      </c>
      <c r="N14" s="2">
        <f t="shared" si="6"/>
        <v>1920</v>
      </c>
      <c r="O14" s="2">
        <f t="shared" si="7"/>
        <v>15360</v>
      </c>
      <c r="P14" s="2">
        <f t="shared" si="8"/>
        <v>4.2666666666666666</v>
      </c>
      <c r="Q14">
        <v>1280</v>
      </c>
      <c r="R14">
        <v>1280</v>
      </c>
      <c r="S14" s="2">
        <f t="shared" si="9"/>
        <v>2560</v>
      </c>
      <c r="T14" s="2">
        <f t="shared" si="10"/>
        <v>20480</v>
      </c>
      <c r="U14" s="2">
        <f t="shared" si="11"/>
        <v>5.6888888888888891</v>
      </c>
      <c r="V14">
        <v>1120</v>
      </c>
      <c r="W14">
        <v>1120</v>
      </c>
      <c r="X14" s="2">
        <f t="shared" si="12"/>
        <v>2240</v>
      </c>
      <c r="Y14" s="2">
        <f t="shared" si="13"/>
        <v>17920</v>
      </c>
      <c r="Z14" s="2">
        <f t="shared" si="14"/>
        <v>4.9777777777777779</v>
      </c>
      <c r="AA14">
        <v>1120</v>
      </c>
      <c r="AB14">
        <v>1120</v>
      </c>
      <c r="AC14" s="2">
        <f t="shared" si="15"/>
        <v>2240</v>
      </c>
      <c r="AD14" s="2">
        <f t="shared" si="16"/>
        <v>17920</v>
      </c>
      <c r="AE14" s="2">
        <f t="shared" si="17"/>
        <v>4.9777777777777779</v>
      </c>
      <c r="AF14">
        <v>1200</v>
      </c>
      <c r="AG14">
        <v>1200</v>
      </c>
      <c r="AH14" s="2">
        <f t="shared" si="18"/>
        <v>2400</v>
      </c>
      <c r="AI14" s="2">
        <f t="shared" si="19"/>
        <v>19200</v>
      </c>
      <c r="AJ14" s="2">
        <f t="shared" si="20"/>
        <v>5.333333333333333</v>
      </c>
      <c r="AK14">
        <v>960</v>
      </c>
      <c r="AL14">
        <v>960</v>
      </c>
      <c r="AM14" s="2">
        <f t="shared" si="21"/>
        <v>1920</v>
      </c>
      <c r="AN14" s="2">
        <f t="shared" si="22"/>
        <v>15360</v>
      </c>
      <c r="AO14" s="2">
        <f t="shared" si="23"/>
        <v>4.2666666666666666</v>
      </c>
      <c r="AP14">
        <v>1120</v>
      </c>
      <c r="AQ14">
        <v>1120</v>
      </c>
      <c r="AR14" s="2">
        <f t="shared" si="24"/>
        <v>2240</v>
      </c>
      <c r="AS14" s="2">
        <f t="shared" si="25"/>
        <v>17920</v>
      </c>
      <c r="AT14" s="2">
        <f t="shared" si="26"/>
        <v>4.9777777777777779</v>
      </c>
      <c r="AU14">
        <v>1120</v>
      </c>
      <c r="AV14">
        <v>1120</v>
      </c>
      <c r="AW14" s="2">
        <f t="shared" si="27"/>
        <v>2240</v>
      </c>
      <c r="AX14" s="2">
        <f t="shared" si="28"/>
        <v>17920</v>
      </c>
      <c r="AY14" s="2">
        <f t="shared" si="29"/>
        <v>4.9777777777777779</v>
      </c>
    </row>
    <row r="15" spans="1:51" x14ac:dyDescent="0.3">
      <c r="A15" s="2" t="s">
        <v>19</v>
      </c>
      <c r="B15">
        <v>960</v>
      </c>
      <c r="C15">
        <v>960</v>
      </c>
      <c r="D15" s="2">
        <f t="shared" si="0"/>
        <v>1920</v>
      </c>
      <c r="E15" s="2">
        <f t="shared" si="1"/>
        <v>15360</v>
      </c>
      <c r="F15" s="2">
        <f t="shared" si="2"/>
        <v>4.2666666666666666</v>
      </c>
      <c r="G15">
        <v>1040</v>
      </c>
      <c r="H15">
        <v>1040</v>
      </c>
      <c r="I15" s="2">
        <f t="shared" si="3"/>
        <v>2080</v>
      </c>
      <c r="J15" s="2">
        <f t="shared" si="4"/>
        <v>16640</v>
      </c>
      <c r="K15" s="2">
        <f t="shared" si="5"/>
        <v>4.6222222222222218</v>
      </c>
      <c r="L15">
        <v>1120</v>
      </c>
      <c r="M15">
        <v>1120</v>
      </c>
      <c r="N15" s="2">
        <f t="shared" si="6"/>
        <v>2240</v>
      </c>
      <c r="O15" s="2">
        <f t="shared" si="7"/>
        <v>17920</v>
      </c>
      <c r="P15" s="2">
        <f t="shared" si="8"/>
        <v>4.9777777777777779</v>
      </c>
      <c r="Q15">
        <v>1120</v>
      </c>
      <c r="R15">
        <v>1120</v>
      </c>
      <c r="S15" s="2">
        <f t="shared" si="9"/>
        <v>2240</v>
      </c>
      <c r="T15" s="2">
        <f t="shared" si="10"/>
        <v>17920</v>
      </c>
      <c r="U15" s="2">
        <f t="shared" si="11"/>
        <v>4.9777777777777779</v>
      </c>
      <c r="V15">
        <v>960</v>
      </c>
      <c r="W15">
        <v>960</v>
      </c>
      <c r="X15" s="2">
        <f t="shared" si="12"/>
        <v>1920</v>
      </c>
      <c r="Y15" s="2">
        <f t="shared" si="13"/>
        <v>15360</v>
      </c>
      <c r="Z15" s="2">
        <f t="shared" si="14"/>
        <v>4.2666666666666666</v>
      </c>
      <c r="AA15">
        <v>960</v>
      </c>
      <c r="AB15">
        <v>960</v>
      </c>
      <c r="AC15" s="2">
        <f t="shared" si="15"/>
        <v>1920</v>
      </c>
      <c r="AD15" s="2">
        <f t="shared" si="16"/>
        <v>15360</v>
      </c>
      <c r="AE15" s="2">
        <f t="shared" si="17"/>
        <v>4.2666666666666666</v>
      </c>
      <c r="AF15">
        <v>1120</v>
      </c>
      <c r="AG15">
        <v>1120</v>
      </c>
      <c r="AH15" s="2">
        <f t="shared" si="18"/>
        <v>2240</v>
      </c>
      <c r="AI15" s="2">
        <f t="shared" si="19"/>
        <v>17920</v>
      </c>
      <c r="AJ15" s="2">
        <f t="shared" si="20"/>
        <v>4.9777777777777779</v>
      </c>
      <c r="AK15">
        <v>1120</v>
      </c>
      <c r="AL15">
        <v>1120</v>
      </c>
      <c r="AM15" s="2">
        <f t="shared" si="21"/>
        <v>2240</v>
      </c>
      <c r="AN15" s="2">
        <f t="shared" si="22"/>
        <v>17920</v>
      </c>
      <c r="AO15" s="2">
        <f t="shared" si="23"/>
        <v>4.9777777777777779</v>
      </c>
      <c r="AP15">
        <v>1120</v>
      </c>
      <c r="AQ15">
        <v>1120</v>
      </c>
      <c r="AR15" s="2">
        <f t="shared" si="24"/>
        <v>2240</v>
      </c>
      <c r="AS15" s="2">
        <f t="shared" si="25"/>
        <v>17920</v>
      </c>
      <c r="AT15" s="2">
        <f t="shared" si="26"/>
        <v>4.9777777777777779</v>
      </c>
      <c r="AU15">
        <v>960</v>
      </c>
      <c r="AV15">
        <v>960</v>
      </c>
      <c r="AW15" s="2">
        <f t="shared" si="27"/>
        <v>1920</v>
      </c>
      <c r="AX15" s="2">
        <f t="shared" si="28"/>
        <v>15360</v>
      </c>
      <c r="AY15" s="2">
        <f t="shared" si="29"/>
        <v>4.2666666666666666</v>
      </c>
    </row>
    <row r="16" spans="1:51" x14ac:dyDescent="0.3">
      <c r="A16" s="2" t="s">
        <v>20</v>
      </c>
      <c r="B16">
        <v>960</v>
      </c>
      <c r="C16">
        <v>960</v>
      </c>
      <c r="D16" s="2">
        <f t="shared" si="0"/>
        <v>1920</v>
      </c>
      <c r="E16" s="2">
        <f t="shared" si="1"/>
        <v>15360</v>
      </c>
      <c r="F16" s="2">
        <f t="shared" si="2"/>
        <v>4.2666666666666666</v>
      </c>
      <c r="G16">
        <v>1280</v>
      </c>
      <c r="H16">
        <v>1280</v>
      </c>
      <c r="I16" s="2">
        <f t="shared" si="3"/>
        <v>2560</v>
      </c>
      <c r="J16" s="2">
        <f t="shared" si="4"/>
        <v>20480</v>
      </c>
      <c r="K16" s="2">
        <f t="shared" si="5"/>
        <v>5.6888888888888891</v>
      </c>
      <c r="L16">
        <v>1040</v>
      </c>
      <c r="M16">
        <v>1040</v>
      </c>
      <c r="N16" s="2">
        <f t="shared" si="6"/>
        <v>2080</v>
      </c>
      <c r="O16" s="2">
        <f t="shared" si="7"/>
        <v>16640</v>
      </c>
      <c r="P16" s="2">
        <f t="shared" si="8"/>
        <v>4.6222222222222218</v>
      </c>
      <c r="Q16">
        <v>1200</v>
      </c>
      <c r="R16">
        <v>1200</v>
      </c>
      <c r="S16" s="2">
        <f t="shared" si="9"/>
        <v>2400</v>
      </c>
      <c r="T16" s="2">
        <f t="shared" si="10"/>
        <v>19200</v>
      </c>
      <c r="U16" s="2">
        <f t="shared" si="11"/>
        <v>5.333333333333333</v>
      </c>
      <c r="V16">
        <v>1040</v>
      </c>
      <c r="W16">
        <v>1040</v>
      </c>
      <c r="X16" s="2">
        <f t="shared" si="12"/>
        <v>2080</v>
      </c>
      <c r="Y16" s="2">
        <f t="shared" si="13"/>
        <v>16640</v>
      </c>
      <c r="Z16" s="2">
        <f t="shared" si="14"/>
        <v>4.6222222222222218</v>
      </c>
      <c r="AA16">
        <v>1040</v>
      </c>
      <c r="AB16">
        <v>1040</v>
      </c>
      <c r="AC16" s="2">
        <f t="shared" si="15"/>
        <v>2080</v>
      </c>
      <c r="AD16" s="2">
        <f t="shared" si="16"/>
        <v>16640</v>
      </c>
      <c r="AE16" s="2">
        <f t="shared" si="17"/>
        <v>4.6222222222222218</v>
      </c>
      <c r="AF16">
        <v>1040</v>
      </c>
      <c r="AG16">
        <v>1040</v>
      </c>
      <c r="AH16" s="2">
        <f t="shared" si="18"/>
        <v>2080</v>
      </c>
      <c r="AI16" s="2">
        <f t="shared" si="19"/>
        <v>16640</v>
      </c>
      <c r="AJ16" s="2">
        <f t="shared" si="20"/>
        <v>4.6222222222222218</v>
      </c>
      <c r="AK16">
        <v>1120</v>
      </c>
      <c r="AL16">
        <v>1120</v>
      </c>
      <c r="AM16" s="2">
        <f t="shared" si="21"/>
        <v>2240</v>
      </c>
      <c r="AN16" s="2">
        <f t="shared" si="22"/>
        <v>17920</v>
      </c>
      <c r="AO16" s="2">
        <f t="shared" si="23"/>
        <v>4.9777777777777779</v>
      </c>
      <c r="AP16">
        <v>1040</v>
      </c>
      <c r="AQ16">
        <v>1040</v>
      </c>
      <c r="AR16" s="2">
        <f t="shared" si="24"/>
        <v>2080</v>
      </c>
      <c r="AS16" s="2">
        <f t="shared" si="25"/>
        <v>16640</v>
      </c>
      <c r="AT16" s="2">
        <f t="shared" si="26"/>
        <v>4.6222222222222218</v>
      </c>
      <c r="AU16">
        <v>1200</v>
      </c>
      <c r="AV16">
        <v>1200</v>
      </c>
      <c r="AW16" s="2">
        <f t="shared" si="27"/>
        <v>2400</v>
      </c>
      <c r="AX16" s="2">
        <f t="shared" si="28"/>
        <v>19200</v>
      </c>
      <c r="AY16" s="2">
        <f t="shared" si="29"/>
        <v>5.333333333333333</v>
      </c>
    </row>
    <row r="17" spans="1:51" x14ac:dyDescent="0.3">
      <c r="A17" s="2" t="s">
        <v>21</v>
      </c>
      <c r="B17">
        <v>1040</v>
      </c>
      <c r="C17">
        <v>1040</v>
      </c>
      <c r="D17" s="2">
        <f t="shared" si="0"/>
        <v>2080</v>
      </c>
      <c r="E17" s="2">
        <f t="shared" si="1"/>
        <v>16640</v>
      </c>
      <c r="F17" s="2">
        <f t="shared" si="2"/>
        <v>4.6222222222222218</v>
      </c>
      <c r="G17">
        <v>1120</v>
      </c>
      <c r="H17">
        <v>1120</v>
      </c>
      <c r="I17" s="2">
        <f t="shared" si="3"/>
        <v>2240</v>
      </c>
      <c r="J17" s="2">
        <f t="shared" si="4"/>
        <v>17920</v>
      </c>
      <c r="K17" s="2">
        <f t="shared" si="5"/>
        <v>4.9777777777777779</v>
      </c>
      <c r="L17">
        <v>1040</v>
      </c>
      <c r="M17">
        <v>1040</v>
      </c>
      <c r="N17" s="2">
        <f t="shared" si="6"/>
        <v>2080</v>
      </c>
      <c r="O17" s="2">
        <f t="shared" si="7"/>
        <v>16640</v>
      </c>
      <c r="P17" s="2">
        <f t="shared" si="8"/>
        <v>4.6222222222222218</v>
      </c>
      <c r="Q17">
        <v>1040</v>
      </c>
      <c r="R17">
        <v>1040</v>
      </c>
      <c r="S17" s="2">
        <f t="shared" si="9"/>
        <v>2080</v>
      </c>
      <c r="T17" s="2">
        <f t="shared" si="10"/>
        <v>16640</v>
      </c>
      <c r="U17" s="2">
        <f t="shared" si="11"/>
        <v>4.6222222222222218</v>
      </c>
      <c r="V17">
        <v>1200</v>
      </c>
      <c r="W17">
        <v>1200</v>
      </c>
      <c r="X17" s="2">
        <f t="shared" si="12"/>
        <v>2400</v>
      </c>
      <c r="Y17" s="2">
        <f t="shared" si="13"/>
        <v>19200</v>
      </c>
      <c r="Z17" s="2">
        <f t="shared" si="14"/>
        <v>5.333333333333333</v>
      </c>
      <c r="AA17">
        <v>960</v>
      </c>
      <c r="AB17">
        <v>960</v>
      </c>
      <c r="AC17" s="2">
        <f t="shared" si="15"/>
        <v>1920</v>
      </c>
      <c r="AD17" s="2">
        <f t="shared" si="16"/>
        <v>15360</v>
      </c>
      <c r="AE17" s="2">
        <f t="shared" si="17"/>
        <v>4.2666666666666666</v>
      </c>
      <c r="AF17">
        <v>1120</v>
      </c>
      <c r="AG17">
        <v>1120</v>
      </c>
      <c r="AH17" s="2">
        <f t="shared" si="18"/>
        <v>2240</v>
      </c>
      <c r="AI17" s="2">
        <f t="shared" si="19"/>
        <v>17920</v>
      </c>
      <c r="AJ17" s="2">
        <f t="shared" si="20"/>
        <v>4.9777777777777779</v>
      </c>
      <c r="AK17">
        <v>1120</v>
      </c>
      <c r="AL17">
        <v>1120</v>
      </c>
      <c r="AM17" s="2">
        <f t="shared" si="21"/>
        <v>2240</v>
      </c>
      <c r="AN17" s="2">
        <f t="shared" si="22"/>
        <v>17920</v>
      </c>
      <c r="AO17" s="2">
        <f t="shared" si="23"/>
        <v>4.9777777777777779</v>
      </c>
      <c r="AP17">
        <v>880</v>
      </c>
      <c r="AQ17">
        <v>880</v>
      </c>
      <c r="AR17" s="2">
        <f t="shared" si="24"/>
        <v>1760</v>
      </c>
      <c r="AS17" s="2">
        <f t="shared" si="25"/>
        <v>14080</v>
      </c>
      <c r="AT17" s="2">
        <f t="shared" si="26"/>
        <v>3.911111111111111</v>
      </c>
      <c r="AU17">
        <v>880</v>
      </c>
      <c r="AV17">
        <v>880</v>
      </c>
      <c r="AW17" s="2">
        <f t="shared" si="27"/>
        <v>1760</v>
      </c>
      <c r="AX17" s="2">
        <f t="shared" si="28"/>
        <v>14080</v>
      </c>
      <c r="AY17" s="2">
        <f t="shared" si="29"/>
        <v>3.911111111111111</v>
      </c>
    </row>
    <row r="18" spans="1:51" x14ac:dyDescent="0.3">
      <c r="A18" s="2" t="s">
        <v>22</v>
      </c>
      <c r="B18">
        <v>1120</v>
      </c>
      <c r="C18">
        <v>1120</v>
      </c>
      <c r="D18" s="2">
        <f t="shared" si="0"/>
        <v>2240</v>
      </c>
      <c r="E18" s="2">
        <f t="shared" si="1"/>
        <v>17920</v>
      </c>
      <c r="F18" s="2">
        <f t="shared" si="2"/>
        <v>4.9777777777777779</v>
      </c>
      <c r="G18">
        <v>1040</v>
      </c>
      <c r="H18">
        <v>1040</v>
      </c>
      <c r="I18" s="2">
        <f t="shared" si="3"/>
        <v>2080</v>
      </c>
      <c r="J18" s="2">
        <f t="shared" si="4"/>
        <v>16640</v>
      </c>
      <c r="K18" s="2">
        <f t="shared" si="5"/>
        <v>4.6222222222222218</v>
      </c>
      <c r="L18">
        <v>1280</v>
      </c>
      <c r="M18">
        <v>1280</v>
      </c>
      <c r="N18" s="2">
        <f t="shared" si="6"/>
        <v>2560</v>
      </c>
      <c r="O18" s="2">
        <f t="shared" si="7"/>
        <v>20480</v>
      </c>
      <c r="P18" s="2">
        <f t="shared" si="8"/>
        <v>5.6888888888888891</v>
      </c>
      <c r="Q18">
        <v>960</v>
      </c>
      <c r="R18">
        <v>960</v>
      </c>
      <c r="S18" s="2">
        <f t="shared" si="9"/>
        <v>1920</v>
      </c>
      <c r="T18" s="2">
        <f t="shared" si="10"/>
        <v>15360</v>
      </c>
      <c r="U18" s="2">
        <f t="shared" si="11"/>
        <v>4.2666666666666666</v>
      </c>
      <c r="V18">
        <v>1040</v>
      </c>
      <c r="W18">
        <v>1040</v>
      </c>
      <c r="X18" s="2">
        <f t="shared" si="12"/>
        <v>2080</v>
      </c>
      <c r="Y18" s="2">
        <f t="shared" si="13"/>
        <v>16640</v>
      </c>
      <c r="Z18" s="2">
        <f t="shared" si="14"/>
        <v>4.6222222222222218</v>
      </c>
      <c r="AA18">
        <v>1040</v>
      </c>
      <c r="AB18">
        <v>1040</v>
      </c>
      <c r="AC18" s="2">
        <f t="shared" si="15"/>
        <v>2080</v>
      </c>
      <c r="AD18" s="2">
        <f t="shared" si="16"/>
        <v>16640</v>
      </c>
      <c r="AE18" s="2">
        <f t="shared" si="17"/>
        <v>4.6222222222222218</v>
      </c>
      <c r="AF18">
        <v>1040</v>
      </c>
      <c r="AG18">
        <v>1040</v>
      </c>
      <c r="AH18" s="2">
        <f t="shared" si="18"/>
        <v>2080</v>
      </c>
      <c r="AI18" s="2">
        <f t="shared" si="19"/>
        <v>16640</v>
      </c>
      <c r="AJ18" s="2">
        <f t="shared" si="20"/>
        <v>4.6222222222222218</v>
      </c>
      <c r="AK18">
        <v>1120</v>
      </c>
      <c r="AL18">
        <v>1120</v>
      </c>
      <c r="AM18" s="2">
        <f t="shared" si="21"/>
        <v>2240</v>
      </c>
      <c r="AN18" s="2">
        <f t="shared" si="22"/>
        <v>17920</v>
      </c>
      <c r="AO18" s="2">
        <f t="shared" si="23"/>
        <v>4.9777777777777779</v>
      </c>
      <c r="AP18">
        <v>1120</v>
      </c>
      <c r="AQ18">
        <v>1120</v>
      </c>
      <c r="AR18" s="2">
        <f t="shared" si="24"/>
        <v>2240</v>
      </c>
      <c r="AS18" s="2">
        <f t="shared" si="25"/>
        <v>17920</v>
      </c>
      <c r="AT18" s="2">
        <f t="shared" si="26"/>
        <v>4.9777777777777779</v>
      </c>
      <c r="AU18">
        <v>960</v>
      </c>
      <c r="AV18">
        <v>960</v>
      </c>
      <c r="AW18" s="2">
        <f t="shared" si="27"/>
        <v>1920</v>
      </c>
      <c r="AX18" s="2">
        <f t="shared" si="28"/>
        <v>15360</v>
      </c>
      <c r="AY18" s="2">
        <f t="shared" si="29"/>
        <v>4.2666666666666666</v>
      </c>
    </row>
    <row r="19" spans="1:51" x14ac:dyDescent="0.3">
      <c r="A19" s="2" t="s">
        <v>23</v>
      </c>
      <c r="B19">
        <v>1200</v>
      </c>
      <c r="C19">
        <v>1200</v>
      </c>
      <c r="D19" s="2">
        <f t="shared" si="0"/>
        <v>2400</v>
      </c>
      <c r="E19" s="2">
        <f t="shared" si="1"/>
        <v>19200</v>
      </c>
      <c r="F19" s="2">
        <f t="shared" si="2"/>
        <v>5.333333333333333</v>
      </c>
      <c r="G19">
        <v>1200</v>
      </c>
      <c r="H19">
        <v>1200</v>
      </c>
      <c r="I19" s="2">
        <f t="shared" si="3"/>
        <v>2400</v>
      </c>
      <c r="J19" s="2">
        <f t="shared" si="4"/>
        <v>19200</v>
      </c>
      <c r="K19" s="2">
        <f t="shared" si="5"/>
        <v>5.333333333333333</v>
      </c>
      <c r="L19">
        <v>880</v>
      </c>
      <c r="M19">
        <v>880</v>
      </c>
      <c r="N19" s="2">
        <f t="shared" si="6"/>
        <v>1760</v>
      </c>
      <c r="O19" s="2">
        <f t="shared" si="7"/>
        <v>14080</v>
      </c>
      <c r="P19" s="2">
        <f t="shared" si="8"/>
        <v>3.911111111111111</v>
      </c>
      <c r="Q19">
        <v>1120</v>
      </c>
      <c r="R19">
        <v>1120</v>
      </c>
      <c r="S19" s="2">
        <f t="shared" si="9"/>
        <v>2240</v>
      </c>
      <c r="T19" s="2">
        <f t="shared" si="10"/>
        <v>17920</v>
      </c>
      <c r="U19" s="2">
        <f t="shared" si="11"/>
        <v>4.9777777777777779</v>
      </c>
      <c r="V19">
        <v>1120</v>
      </c>
      <c r="W19">
        <v>1120</v>
      </c>
      <c r="X19" s="2">
        <f t="shared" si="12"/>
        <v>2240</v>
      </c>
      <c r="Y19" s="2">
        <f t="shared" si="13"/>
        <v>17920</v>
      </c>
      <c r="Z19" s="2">
        <f t="shared" si="14"/>
        <v>4.9777777777777779</v>
      </c>
      <c r="AA19">
        <v>1200</v>
      </c>
      <c r="AB19">
        <v>1200</v>
      </c>
      <c r="AC19" s="2">
        <f t="shared" si="15"/>
        <v>2400</v>
      </c>
      <c r="AD19" s="2">
        <f t="shared" si="16"/>
        <v>19200</v>
      </c>
      <c r="AE19" s="2">
        <f t="shared" si="17"/>
        <v>5.333333333333333</v>
      </c>
      <c r="AF19">
        <v>1120</v>
      </c>
      <c r="AG19">
        <v>1120</v>
      </c>
      <c r="AH19" s="2">
        <f t="shared" si="18"/>
        <v>2240</v>
      </c>
      <c r="AI19" s="2">
        <f t="shared" si="19"/>
        <v>17920</v>
      </c>
      <c r="AJ19" s="2">
        <f t="shared" si="20"/>
        <v>4.9777777777777779</v>
      </c>
      <c r="AK19">
        <v>1040</v>
      </c>
      <c r="AL19">
        <v>1040</v>
      </c>
      <c r="AM19" s="2">
        <f t="shared" si="21"/>
        <v>2080</v>
      </c>
      <c r="AN19" s="2">
        <f t="shared" si="22"/>
        <v>16640</v>
      </c>
      <c r="AO19" s="2">
        <f t="shared" si="23"/>
        <v>4.6222222222222218</v>
      </c>
      <c r="AP19">
        <v>960</v>
      </c>
      <c r="AQ19">
        <v>960</v>
      </c>
      <c r="AR19" s="2">
        <f t="shared" si="24"/>
        <v>1920</v>
      </c>
      <c r="AS19" s="2">
        <f t="shared" si="25"/>
        <v>15360</v>
      </c>
      <c r="AT19" s="2">
        <f t="shared" si="26"/>
        <v>4.2666666666666666</v>
      </c>
      <c r="AU19">
        <v>1200</v>
      </c>
      <c r="AV19">
        <v>1200</v>
      </c>
      <c r="AW19" s="2">
        <f t="shared" si="27"/>
        <v>2400</v>
      </c>
      <c r="AX19" s="2">
        <f t="shared" si="28"/>
        <v>19200</v>
      </c>
      <c r="AY19" s="2">
        <f t="shared" si="29"/>
        <v>5.333333333333333</v>
      </c>
    </row>
    <row r="20" spans="1:51" x14ac:dyDescent="0.3">
      <c r="A20" s="2" t="s">
        <v>24</v>
      </c>
      <c r="B20">
        <v>960</v>
      </c>
      <c r="C20">
        <v>960</v>
      </c>
      <c r="D20" s="2">
        <f t="shared" si="0"/>
        <v>1920</v>
      </c>
      <c r="E20" s="2">
        <f t="shared" si="1"/>
        <v>15360</v>
      </c>
      <c r="F20" s="2">
        <f t="shared" si="2"/>
        <v>4.2666666666666666</v>
      </c>
      <c r="G20">
        <v>960</v>
      </c>
      <c r="H20">
        <v>960</v>
      </c>
      <c r="I20" s="2">
        <f t="shared" si="3"/>
        <v>1920</v>
      </c>
      <c r="J20" s="2">
        <f t="shared" si="4"/>
        <v>15360</v>
      </c>
      <c r="K20" s="2">
        <f t="shared" si="5"/>
        <v>4.2666666666666666</v>
      </c>
      <c r="L20">
        <v>1040</v>
      </c>
      <c r="M20">
        <v>1040</v>
      </c>
      <c r="N20" s="2">
        <f t="shared" si="6"/>
        <v>2080</v>
      </c>
      <c r="O20" s="2">
        <f t="shared" si="7"/>
        <v>16640</v>
      </c>
      <c r="P20" s="2">
        <f t="shared" si="8"/>
        <v>4.6222222222222218</v>
      </c>
      <c r="Q20">
        <v>1120</v>
      </c>
      <c r="R20">
        <v>1120</v>
      </c>
      <c r="S20" s="2">
        <f t="shared" si="9"/>
        <v>2240</v>
      </c>
      <c r="T20" s="2">
        <f t="shared" si="10"/>
        <v>17920</v>
      </c>
      <c r="U20" s="2">
        <f t="shared" si="11"/>
        <v>4.9777777777777779</v>
      </c>
      <c r="V20">
        <v>960</v>
      </c>
      <c r="W20">
        <v>960</v>
      </c>
      <c r="X20" s="2">
        <f t="shared" si="12"/>
        <v>1920</v>
      </c>
      <c r="Y20" s="2">
        <f t="shared" si="13"/>
        <v>15360</v>
      </c>
      <c r="Z20" s="2">
        <f t="shared" si="14"/>
        <v>4.2666666666666666</v>
      </c>
      <c r="AA20">
        <v>1040</v>
      </c>
      <c r="AB20">
        <v>1040</v>
      </c>
      <c r="AC20" s="2">
        <f t="shared" si="15"/>
        <v>2080</v>
      </c>
      <c r="AD20" s="2">
        <f t="shared" si="16"/>
        <v>16640</v>
      </c>
      <c r="AE20" s="2">
        <f t="shared" si="17"/>
        <v>4.6222222222222218</v>
      </c>
      <c r="AF20">
        <v>1040</v>
      </c>
      <c r="AG20">
        <v>1040</v>
      </c>
      <c r="AH20" s="2">
        <f t="shared" si="18"/>
        <v>2080</v>
      </c>
      <c r="AI20" s="2">
        <f t="shared" si="19"/>
        <v>16640</v>
      </c>
      <c r="AJ20" s="2">
        <f t="shared" si="20"/>
        <v>4.6222222222222218</v>
      </c>
      <c r="AK20">
        <v>1120</v>
      </c>
      <c r="AL20">
        <v>1120</v>
      </c>
      <c r="AM20" s="2">
        <f t="shared" si="21"/>
        <v>2240</v>
      </c>
      <c r="AN20" s="2">
        <f t="shared" si="22"/>
        <v>17920</v>
      </c>
      <c r="AO20" s="2">
        <f t="shared" si="23"/>
        <v>4.9777777777777779</v>
      </c>
      <c r="AP20">
        <v>1200</v>
      </c>
      <c r="AQ20">
        <v>1200</v>
      </c>
      <c r="AR20" s="2">
        <f t="shared" si="24"/>
        <v>2400</v>
      </c>
      <c r="AS20" s="2">
        <f t="shared" si="25"/>
        <v>19200</v>
      </c>
      <c r="AT20" s="2">
        <f t="shared" si="26"/>
        <v>5.333333333333333</v>
      </c>
      <c r="AU20">
        <v>800</v>
      </c>
      <c r="AV20">
        <v>800</v>
      </c>
      <c r="AW20" s="2">
        <f t="shared" si="27"/>
        <v>1600</v>
      </c>
      <c r="AX20" s="2">
        <f t="shared" si="28"/>
        <v>12800</v>
      </c>
      <c r="AY20" s="2">
        <f t="shared" si="29"/>
        <v>3.5555555555555554</v>
      </c>
    </row>
    <row r="21" spans="1:51" x14ac:dyDescent="0.3">
      <c r="A21" s="2" t="s">
        <v>25</v>
      </c>
      <c r="B21">
        <v>1200</v>
      </c>
      <c r="C21">
        <v>1200</v>
      </c>
      <c r="D21" s="2">
        <f t="shared" si="0"/>
        <v>2400</v>
      </c>
      <c r="E21" s="2">
        <f t="shared" si="1"/>
        <v>19200</v>
      </c>
      <c r="F21" s="2">
        <f t="shared" si="2"/>
        <v>5.333333333333333</v>
      </c>
      <c r="G21">
        <v>1120</v>
      </c>
      <c r="H21">
        <v>1120</v>
      </c>
      <c r="I21" s="2">
        <f t="shared" si="3"/>
        <v>2240</v>
      </c>
      <c r="J21" s="2">
        <f t="shared" si="4"/>
        <v>17920</v>
      </c>
      <c r="K21" s="2">
        <f t="shared" si="5"/>
        <v>4.9777777777777779</v>
      </c>
      <c r="L21">
        <v>960</v>
      </c>
      <c r="M21">
        <v>960</v>
      </c>
      <c r="N21" s="2">
        <f t="shared" si="6"/>
        <v>1920</v>
      </c>
      <c r="O21" s="2">
        <f t="shared" si="7"/>
        <v>15360</v>
      </c>
      <c r="P21" s="2">
        <f t="shared" si="8"/>
        <v>4.2666666666666666</v>
      </c>
      <c r="Q21">
        <v>1040</v>
      </c>
      <c r="R21">
        <v>1040</v>
      </c>
      <c r="S21" s="2">
        <f t="shared" si="9"/>
        <v>2080</v>
      </c>
      <c r="T21" s="2">
        <f t="shared" si="10"/>
        <v>16640</v>
      </c>
      <c r="U21" s="2">
        <f t="shared" si="11"/>
        <v>4.6222222222222218</v>
      </c>
      <c r="V21">
        <v>1040</v>
      </c>
      <c r="W21">
        <v>1040</v>
      </c>
      <c r="X21" s="2">
        <f t="shared" si="12"/>
        <v>2080</v>
      </c>
      <c r="Y21" s="2">
        <f t="shared" si="13"/>
        <v>16640</v>
      </c>
      <c r="Z21" s="2">
        <f t="shared" si="14"/>
        <v>4.6222222222222218</v>
      </c>
      <c r="AA21">
        <v>880</v>
      </c>
      <c r="AB21">
        <v>880</v>
      </c>
      <c r="AC21" s="2">
        <f t="shared" si="15"/>
        <v>1760</v>
      </c>
      <c r="AD21" s="2">
        <f t="shared" si="16"/>
        <v>14080</v>
      </c>
      <c r="AE21" s="2">
        <f t="shared" si="17"/>
        <v>3.911111111111111</v>
      </c>
      <c r="AF21">
        <v>1200</v>
      </c>
      <c r="AG21">
        <v>1200</v>
      </c>
      <c r="AH21" s="2">
        <f t="shared" si="18"/>
        <v>2400</v>
      </c>
      <c r="AI21" s="2">
        <f t="shared" si="19"/>
        <v>19200</v>
      </c>
      <c r="AJ21" s="2">
        <f t="shared" si="20"/>
        <v>5.333333333333333</v>
      </c>
      <c r="AK21">
        <v>1040</v>
      </c>
      <c r="AL21">
        <v>1040</v>
      </c>
      <c r="AM21" s="2">
        <f t="shared" si="21"/>
        <v>2080</v>
      </c>
      <c r="AN21" s="2">
        <f t="shared" si="22"/>
        <v>16640</v>
      </c>
      <c r="AO21" s="2">
        <f t="shared" si="23"/>
        <v>4.6222222222222218</v>
      </c>
      <c r="AP21">
        <v>960</v>
      </c>
      <c r="AQ21">
        <v>960</v>
      </c>
      <c r="AR21" s="2">
        <f t="shared" si="24"/>
        <v>1920</v>
      </c>
      <c r="AS21" s="2">
        <f t="shared" si="25"/>
        <v>15360</v>
      </c>
      <c r="AT21" s="2">
        <f t="shared" si="26"/>
        <v>4.2666666666666666</v>
      </c>
      <c r="AU21">
        <v>1200</v>
      </c>
      <c r="AV21">
        <v>1200</v>
      </c>
      <c r="AW21" s="2">
        <f t="shared" si="27"/>
        <v>2400</v>
      </c>
      <c r="AX21" s="2">
        <f t="shared" si="28"/>
        <v>19200</v>
      </c>
      <c r="AY21" s="2">
        <f t="shared" si="29"/>
        <v>5.333333333333333</v>
      </c>
    </row>
    <row r="22" spans="1:51" x14ac:dyDescent="0.3">
      <c r="A22" s="2" t="s">
        <v>26</v>
      </c>
      <c r="B22">
        <v>960</v>
      </c>
      <c r="C22">
        <v>960</v>
      </c>
      <c r="D22" s="2">
        <f t="shared" si="0"/>
        <v>1920</v>
      </c>
      <c r="E22" s="2">
        <f t="shared" si="1"/>
        <v>15360</v>
      </c>
      <c r="F22" s="2">
        <f t="shared" si="2"/>
        <v>4.2666666666666666</v>
      </c>
      <c r="G22">
        <v>880</v>
      </c>
      <c r="H22">
        <v>880</v>
      </c>
      <c r="I22" s="2">
        <f t="shared" si="3"/>
        <v>1760</v>
      </c>
      <c r="J22" s="2">
        <f t="shared" si="4"/>
        <v>14080</v>
      </c>
      <c r="K22" s="2">
        <f t="shared" si="5"/>
        <v>3.911111111111111</v>
      </c>
      <c r="L22">
        <v>1200</v>
      </c>
      <c r="M22">
        <v>1200</v>
      </c>
      <c r="N22" s="2">
        <f t="shared" si="6"/>
        <v>2400</v>
      </c>
      <c r="O22" s="2">
        <f t="shared" si="7"/>
        <v>19200</v>
      </c>
      <c r="P22" s="2">
        <f t="shared" si="8"/>
        <v>5.333333333333333</v>
      </c>
      <c r="Q22">
        <v>960</v>
      </c>
      <c r="R22">
        <v>960</v>
      </c>
      <c r="S22" s="2">
        <f t="shared" si="9"/>
        <v>1920</v>
      </c>
      <c r="T22" s="2">
        <f t="shared" si="10"/>
        <v>15360</v>
      </c>
      <c r="U22" s="2">
        <f t="shared" si="11"/>
        <v>4.2666666666666666</v>
      </c>
      <c r="V22">
        <v>960</v>
      </c>
      <c r="W22">
        <v>960</v>
      </c>
      <c r="X22" s="2">
        <f t="shared" si="12"/>
        <v>1920</v>
      </c>
      <c r="Y22" s="2">
        <f t="shared" si="13"/>
        <v>15360</v>
      </c>
      <c r="Z22" s="2">
        <f t="shared" si="14"/>
        <v>4.2666666666666666</v>
      </c>
      <c r="AA22">
        <v>960</v>
      </c>
      <c r="AB22">
        <v>960</v>
      </c>
      <c r="AC22" s="2">
        <f t="shared" si="15"/>
        <v>1920</v>
      </c>
      <c r="AD22" s="2">
        <f t="shared" si="16"/>
        <v>15360</v>
      </c>
      <c r="AE22" s="2">
        <f t="shared" si="17"/>
        <v>4.2666666666666666</v>
      </c>
      <c r="AF22">
        <v>1120</v>
      </c>
      <c r="AG22">
        <v>1120</v>
      </c>
      <c r="AH22" s="2">
        <f t="shared" si="18"/>
        <v>2240</v>
      </c>
      <c r="AI22" s="2">
        <f t="shared" si="19"/>
        <v>17920</v>
      </c>
      <c r="AJ22" s="2">
        <f t="shared" si="20"/>
        <v>4.9777777777777779</v>
      </c>
      <c r="AK22">
        <v>1200</v>
      </c>
      <c r="AL22">
        <v>1200</v>
      </c>
      <c r="AM22" s="2">
        <f t="shared" si="21"/>
        <v>2400</v>
      </c>
      <c r="AN22" s="2">
        <f t="shared" si="22"/>
        <v>19200</v>
      </c>
      <c r="AO22" s="2">
        <f t="shared" si="23"/>
        <v>5.333333333333333</v>
      </c>
      <c r="AP22">
        <v>1040</v>
      </c>
      <c r="AQ22">
        <v>1040</v>
      </c>
      <c r="AR22" s="2">
        <f t="shared" si="24"/>
        <v>2080</v>
      </c>
      <c r="AS22" s="2">
        <f t="shared" si="25"/>
        <v>16640</v>
      </c>
      <c r="AT22" s="2">
        <f t="shared" si="26"/>
        <v>4.6222222222222218</v>
      </c>
      <c r="AU22">
        <v>1200</v>
      </c>
      <c r="AV22">
        <v>1200</v>
      </c>
      <c r="AW22" s="2">
        <f t="shared" si="27"/>
        <v>2400</v>
      </c>
      <c r="AX22" s="2">
        <f t="shared" si="28"/>
        <v>19200</v>
      </c>
      <c r="AY22" s="2">
        <f t="shared" si="29"/>
        <v>5.333333333333333</v>
      </c>
    </row>
    <row r="23" spans="1:51" x14ac:dyDescent="0.3">
      <c r="A23" s="2" t="s">
        <v>27</v>
      </c>
      <c r="B23">
        <v>1200</v>
      </c>
      <c r="C23">
        <v>1200</v>
      </c>
      <c r="D23" s="2">
        <f t="shared" si="0"/>
        <v>2400</v>
      </c>
      <c r="E23" s="2">
        <f t="shared" si="1"/>
        <v>19200</v>
      </c>
      <c r="F23" s="2">
        <f t="shared" si="2"/>
        <v>5.333333333333333</v>
      </c>
      <c r="G23">
        <v>1200</v>
      </c>
      <c r="H23">
        <v>1200</v>
      </c>
      <c r="I23" s="2">
        <f t="shared" si="3"/>
        <v>2400</v>
      </c>
      <c r="J23" s="2">
        <f t="shared" si="4"/>
        <v>19200</v>
      </c>
      <c r="K23" s="2">
        <f t="shared" si="5"/>
        <v>5.333333333333333</v>
      </c>
      <c r="L23">
        <v>960</v>
      </c>
      <c r="M23">
        <v>960</v>
      </c>
      <c r="N23" s="2">
        <f t="shared" si="6"/>
        <v>1920</v>
      </c>
      <c r="O23" s="2">
        <f t="shared" si="7"/>
        <v>15360</v>
      </c>
      <c r="P23" s="2">
        <f t="shared" si="8"/>
        <v>4.2666666666666666</v>
      </c>
      <c r="Q23">
        <v>1200</v>
      </c>
      <c r="R23">
        <v>1200</v>
      </c>
      <c r="S23" s="2">
        <f t="shared" si="9"/>
        <v>2400</v>
      </c>
      <c r="T23" s="2">
        <f t="shared" si="10"/>
        <v>19200</v>
      </c>
      <c r="U23" s="2">
        <f t="shared" si="11"/>
        <v>5.333333333333333</v>
      </c>
      <c r="V23">
        <v>1120</v>
      </c>
      <c r="W23">
        <v>1120</v>
      </c>
      <c r="X23" s="2">
        <f t="shared" si="12"/>
        <v>2240</v>
      </c>
      <c r="Y23" s="2">
        <f t="shared" si="13"/>
        <v>17920</v>
      </c>
      <c r="Z23" s="2">
        <f t="shared" si="14"/>
        <v>4.9777777777777779</v>
      </c>
      <c r="AA23">
        <v>1120</v>
      </c>
      <c r="AB23">
        <v>1120</v>
      </c>
      <c r="AC23" s="2">
        <f t="shared" si="15"/>
        <v>2240</v>
      </c>
      <c r="AD23" s="2">
        <f t="shared" si="16"/>
        <v>17920</v>
      </c>
      <c r="AE23" s="2">
        <f t="shared" si="17"/>
        <v>4.9777777777777779</v>
      </c>
      <c r="AF23">
        <v>960</v>
      </c>
      <c r="AG23">
        <v>960</v>
      </c>
      <c r="AH23" s="2">
        <f t="shared" si="18"/>
        <v>1920</v>
      </c>
      <c r="AI23" s="2">
        <f t="shared" si="19"/>
        <v>15360</v>
      </c>
      <c r="AJ23" s="2">
        <f t="shared" si="20"/>
        <v>4.2666666666666666</v>
      </c>
      <c r="AK23">
        <v>1280</v>
      </c>
      <c r="AL23">
        <v>1280</v>
      </c>
      <c r="AM23" s="2">
        <f t="shared" si="21"/>
        <v>2560</v>
      </c>
      <c r="AN23" s="2">
        <f t="shared" si="22"/>
        <v>20480</v>
      </c>
      <c r="AO23" s="2">
        <f t="shared" si="23"/>
        <v>5.6888888888888891</v>
      </c>
      <c r="AP23">
        <v>1120</v>
      </c>
      <c r="AQ23">
        <v>1120</v>
      </c>
      <c r="AR23" s="2">
        <f t="shared" si="24"/>
        <v>2240</v>
      </c>
      <c r="AS23" s="2">
        <f t="shared" si="25"/>
        <v>17920</v>
      </c>
      <c r="AT23" s="2">
        <f t="shared" si="26"/>
        <v>4.9777777777777779</v>
      </c>
      <c r="AU23">
        <v>960</v>
      </c>
      <c r="AV23">
        <v>960</v>
      </c>
      <c r="AW23" s="2">
        <f t="shared" si="27"/>
        <v>1920</v>
      </c>
      <c r="AX23" s="2">
        <f t="shared" si="28"/>
        <v>15360</v>
      </c>
      <c r="AY23" s="2">
        <f t="shared" si="29"/>
        <v>4.2666666666666666</v>
      </c>
    </row>
    <row r="24" spans="1:51" x14ac:dyDescent="0.3">
      <c r="A24" s="2" t="s">
        <v>28</v>
      </c>
      <c r="B24">
        <v>1200</v>
      </c>
      <c r="C24">
        <v>1200</v>
      </c>
      <c r="D24" s="2">
        <f t="shared" si="0"/>
        <v>2400</v>
      </c>
      <c r="E24" s="2">
        <f t="shared" si="1"/>
        <v>19200</v>
      </c>
      <c r="F24" s="2">
        <f t="shared" si="2"/>
        <v>5.333333333333333</v>
      </c>
      <c r="G24">
        <v>1040</v>
      </c>
      <c r="H24">
        <v>1040</v>
      </c>
      <c r="I24" s="2">
        <f t="shared" si="3"/>
        <v>2080</v>
      </c>
      <c r="J24" s="2">
        <f t="shared" si="4"/>
        <v>16640</v>
      </c>
      <c r="K24" s="2">
        <f t="shared" si="5"/>
        <v>4.6222222222222218</v>
      </c>
      <c r="L24">
        <v>960</v>
      </c>
      <c r="M24">
        <v>960</v>
      </c>
      <c r="N24" s="2">
        <f t="shared" si="6"/>
        <v>1920</v>
      </c>
      <c r="O24" s="2">
        <f t="shared" si="7"/>
        <v>15360</v>
      </c>
      <c r="P24" s="2">
        <f t="shared" si="8"/>
        <v>4.2666666666666666</v>
      </c>
      <c r="Q24">
        <v>1120</v>
      </c>
      <c r="R24">
        <v>1120</v>
      </c>
      <c r="S24" s="2">
        <f t="shared" si="9"/>
        <v>2240</v>
      </c>
      <c r="T24" s="2">
        <f t="shared" si="10"/>
        <v>17920</v>
      </c>
      <c r="U24" s="2">
        <f t="shared" si="11"/>
        <v>4.9777777777777779</v>
      </c>
      <c r="V24">
        <v>960</v>
      </c>
      <c r="W24">
        <v>960</v>
      </c>
      <c r="X24" s="2">
        <f t="shared" si="12"/>
        <v>1920</v>
      </c>
      <c r="Y24" s="2">
        <f t="shared" si="13"/>
        <v>15360</v>
      </c>
      <c r="Z24" s="2">
        <f t="shared" si="14"/>
        <v>4.2666666666666666</v>
      </c>
      <c r="AA24">
        <v>1040</v>
      </c>
      <c r="AB24">
        <v>1040</v>
      </c>
      <c r="AC24" s="2">
        <f t="shared" si="15"/>
        <v>2080</v>
      </c>
      <c r="AD24" s="2">
        <f t="shared" si="16"/>
        <v>16640</v>
      </c>
      <c r="AE24" s="2">
        <f t="shared" si="17"/>
        <v>4.6222222222222218</v>
      </c>
      <c r="AF24">
        <v>1280</v>
      </c>
      <c r="AG24">
        <v>1280</v>
      </c>
      <c r="AH24" s="2">
        <f t="shared" si="18"/>
        <v>2560</v>
      </c>
      <c r="AI24" s="2">
        <f t="shared" si="19"/>
        <v>20480</v>
      </c>
      <c r="AJ24" s="2">
        <f t="shared" si="20"/>
        <v>5.6888888888888891</v>
      </c>
      <c r="AK24">
        <v>880</v>
      </c>
      <c r="AL24">
        <v>880</v>
      </c>
      <c r="AM24" s="2">
        <f t="shared" si="21"/>
        <v>1760</v>
      </c>
      <c r="AN24" s="2">
        <f t="shared" si="22"/>
        <v>14080</v>
      </c>
      <c r="AO24" s="2">
        <f t="shared" si="23"/>
        <v>3.911111111111111</v>
      </c>
      <c r="AP24">
        <v>1200</v>
      </c>
      <c r="AQ24">
        <v>1200</v>
      </c>
      <c r="AR24" s="2">
        <f t="shared" si="24"/>
        <v>2400</v>
      </c>
      <c r="AS24" s="2">
        <f t="shared" si="25"/>
        <v>19200</v>
      </c>
      <c r="AT24" s="2">
        <f t="shared" si="26"/>
        <v>5.333333333333333</v>
      </c>
      <c r="AU24">
        <v>1200</v>
      </c>
      <c r="AV24">
        <v>1200</v>
      </c>
      <c r="AW24" s="2">
        <f t="shared" si="27"/>
        <v>2400</v>
      </c>
      <c r="AX24" s="2">
        <f t="shared" si="28"/>
        <v>19200</v>
      </c>
      <c r="AY24" s="2">
        <f t="shared" si="29"/>
        <v>5.333333333333333</v>
      </c>
    </row>
    <row r="25" spans="1:51" x14ac:dyDescent="0.3">
      <c r="A25" s="2" t="s">
        <v>29</v>
      </c>
      <c r="B25">
        <v>1040</v>
      </c>
      <c r="C25">
        <v>1040</v>
      </c>
      <c r="D25" s="2">
        <f t="shared" si="0"/>
        <v>2080</v>
      </c>
      <c r="E25" s="2">
        <f t="shared" si="1"/>
        <v>16640</v>
      </c>
      <c r="F25" s="2">
        <f t="shared" si="2"/>
        <v>4.6222222222222218</v>
      </c>
      <c r="G25">
        <v>1120</v>
      </c>
      <c r="H25">
        <v>1120</v>
      </c>
      <c r="I25" s="2">
        <f t="shared" si="3"/>
        <v>2240</v>
      </c>
      <c r="J25" s="2">
        <f t="shared" si="4"/>
        <v>17920</v>
      </c>
      <c r="K25" s="2">
        <f t="shared" si="5"/>
        <v>4.9777777777777779</v>
      </c>
      <c r="L25">
        <v>1120</v>
      </c>
      <c r="M25">
        <v>1120</v>
      </c>
      <c r="N25" s="2">
        <f t="shared" si="6"/>
        <v>2240</v>
      </c>
      <c r="O25" s="2">
        <f t="shared" si="7"/>
        <v>17920</v>
      </c>
      <c r="P25" s="2">
        <f t="shared" si="8"/>
        <v>4.9777777777777779</v>
      </c>
      <c r="Q25">
        <v>1120</v>
      </c>
      <c r="R25">
        <v>1120</v>
      </c>
      <c r="S25" s="2">
        <f t="shared" si="9"/>
        <v>2240</v>
      </c>
      <c r="T25" s="2">
        <f t="shared" si="10"/>
        <v>17920</v>
      </c>
      <c r="U25" s="2">
        <f t="shared" si="11"/>
        <v>4.9777777777777779</v>
      </c>
      <c r="V25">
        <v>1280</v>
      </c>
      <c r="W25">
        <v>1280</v>
      </c>
      <c r="X25" s="2">
        <f t="shared" si="12"/>
        <v>2560</v>
      </c>
      <c r="Y25" s="2">
        <f t="shared" si="13"/>
        <v>20480</v>
      </c>
      <c r="Z25" s="2">
        <f t="shared" si="14"/>
        <v>5.6888888888888891</v>
      </c>
      <c r="AA25">
        <v>1120</v>
      </c>
      <c r="AB25">
        <v>1120</v>
      </c>
      <c r="AC25" s="2">
        <f t="shared" si="15"/>
        <v>2240</v>
      </c>
      <c r="AD25" s="2">
        <f t="shared" si="16"/>
        <v>17920</v>
      </c>
      <c r="AE25" s="2">
        <f t="shared" si="17"/>
        <v>4.9777777777777779</v>
      </c>
      <c r="AF25">
        <v>1200</v>
      </c>
      <c r="AG25">
        <v>1200</v>
      </c>
      <c r="AH25" s="2">
        <f t="shared" si="18"/>
        <v>2400</v>
      </c>
      <c r="AI25" s="2">
        <f t="shared" si="19"/>
        <v>19200</v>
      </c>
      <c r="AJ25" s="2">
        <f t="shared" si="20"/>
        <v>5.333333333333333</v>
      </c>
      <c r="AK25">
        <v>1040</v>
      </c>
      <c r="AL25">
        <v>1040</v>
      </c>
      <c r="AM25" s="2">
        <f t="shared" si="21"/>
        <v>2080</v>
      </c>
      <c r="AN25" s="2">
        <f t="shared" si="22"/>
        <v>16640</v>
      </c>
      <c r="AO25" s="2">
        <f t="shared" si="23"/>
        <v>4.6222222222222218</v>
      </c>
      <c r="AP25">
        <v>1200</v>
      </c>
      <c r="AQ25">
        <v>1200</v>
      </c>
      <c r="AR25" s="2">
        <f t="shared" si="24"/>
        <v>2400</v>
      </c>
      <c r="AS25" s="2">
        <f t="shared" si="25"/>
        <v>19200</v>
      </c>
      <c r="AT25" s="2">
        <f t="shared" si="26"/>
        <v>5.333333333333333</v>
      </c>
      <c r="AU25">
        <v>960</v>
      </c>
      <c r="AV25">
        <v>960</v>
      </c>
      <c r="AW25" s="2">
        <f t="shared" si="27"/>
        <v>1920</v>
      </c>
      <c r="AX25" s="2">
        <f t="shared" si="28"/>
        <v>15360</v>
      </c>
      <c r="AY25" s="2">
        <f t="shared" si="29"/>
        <v>4.2666666666666666</v>
      </c>
    </row>
    <row r="26" spans="1:51" x14ac:dyDescent="0.3">
      <c r="A26" s="2" t="s">
        <v>30</v>
      </c>
      <c r="B26">
        <v>1040</v>
      </c>
      <c r="C26">
        <v>1040</v>
      </c>
      <c r="D26" s="2">
        <f t="shared" si="0"/>
        <v>2080</v>
      </c>
      <c r="E26" s="2">
        <f t="shared" si="1"/>
        <v>16640</v>
      </c>
      <c r="F26" s="2">
        <f t="shared" si="2"/>
        <v>4.6222222222222218</v>
      </c>
      <c r="G26">
        <v>1120</v>
      </c>
      <c r="H26">
        <v>1120</v>
      </c>
      <c r="I26" s="2">
        <f t="shared" si="3"/>
        <v>2240</v>
      </c>
      <c r="J26" s="2">
        <f t="shared" si="4"/>
        <v>17920</v>
      </c>
      <c r="K26" s="2">
        <f t="shared" si="5"/>
        <v>4.9777777777777779</v>
      </c>
      <c r="L26">
        <v>1040</v>
      </c>
      <c r="M26">
        <v>1040</v>
      </c>
      <c r="N26" s="2">
        <f t="shared" si="6"/>
        <v>2080</v>
      </c>
      <c r="O26" s="2">
        <f t="shared" si="7"/>
        <v>16640</v>
      </c>
      <c r="P26" s="2">
        <f t="shared" si="8"/>
        <v>4.6222222222222218</v>
      </c>
      <c r="Q26">
        <v>1120</v>
      </c>
      <c r="R26">
        <v>1120</v>
      </c>
      <c r="S26" s="2">
        <f t="shared" si="9"/>
        <v>2240</v>
      </c>
      <c r="T26" s="2">
        <f t="shared" si="10"/>
        <v>17920</v>
      </c>
      <c r="U26" s="2">
        <f t="shared" si="11"/>
        <v>4.9777777777777779</v>
      </c>
      <c r="V26">
        <v>1040</v>
      </c>
      <c r="W26">
        <v>1040</v>
      </c>
      <c r="X26" s="2">
        <f t="shared" si="12"/>
        <v>2080</v>
      </c>
      <c r="Y26" s="2">
        <f t="shared" si="13"/>
        <v>16640</v>
      </c>
      <c r="Z26" s="2">
        <f t="shared" si="14"/>
        <v>4.6222222222222218</v>
      </c>
      <c r="AA26">
        <v>1040</v>
      </c>
      <c r="AB26">
        <v>1040</v>
      </c>
      <c r="AC26" s="2">
        <f t="shared" si="15"/>
        <v>2080</v>
      </c>
      <c r="AD26" s="2">
        <f t="shared" si="16"/>
        <v>16640</v>
      </c>
      <c r="AE26" s="2">
        <f t="shared" si="17"/>
        <v>4.6222222222222218</v>
      </c>
      <c r="AF26">
        <v>1040</v>
      </c>
      <c r="AG26">
        <v>1040</v>
      </c>
      <c r="AH26" s="2">
        <f t="shared" si="18"/>
        <v>2080</v>
      </c>
      <c r="AI26" s="2">
        <f t="shared" si="19"/>
        <v>16640</v>
      </c>
      <c r="AJ26" s="2">
        <f t="shared" si="20"/>
        <v>4.6222222222222218</v>
      </c>
      <c r="AK26">
        <v>1200</v>
      </c>
      <c r="AL26">
        <v>1200</v>
      </c>
      <c r="AM26" s="2">
        <f t="shared" si="21"/>
        <v>2400</v>
      </c>
      <c r="AN26" s="2">
        <f t="shared" si="22"/>
        <v>19200</v>
      </c>
      <c r="AO26" s="2">
        <f t="shared" si="23"/>
        <v>5.333333333333333</v>
      </c>
      <c r="AP26">
        <v>960</v>
      </c>
      <c r="AQ26">
        <v>960</v>
      </c>
      <c r="AR26" s="2">
        <f t="shared" si="24"/>
        <v>1920</v>
      </c>
      <c r="AS26" s="2">
        <f t="shared" si="25"/>
        <v>15360</v>
      </c>
      <c r="AT26" s="2">
        <f t="shared" si="26"/>
        <v>4.2666666666666666</v>
      </c>
      <c r="AU26">
        <v>1200</v>
      </c>
      <c r="AV26">
        <v>1200</v>
      </c>
      <c r="AW26" s="2">
        <f t="shared" si="27"/>
        <v>2400</v>
      </c>
      <c r="AX26" s="2">
        <f t="shared" si="28"/>
        <v>19200</v>
      </c>
      <c r="AY26" s="2">
        <f t="shared" si="29"/>
        <v>5.333333333333333</v>
      </c>
    </row>
    <row r="27" spans="1:51" x14ac:dyDescent="0.3">
      <c r="A27" s="2" t="s">
        <v>31</v>
      </c>
      <c r="B27">
        <v>1040</v>
      </c>
      <c r="C27">
        <v>1040</v>
      </c>
      <c r="D27" s="2">
        <f t="shared" si="0"/>
        <v>2080</v>
      </c>
      <c r="E27" s="2">
        <f t="shared" si="1"/>
        <v>16640</v>
      </c>
      <c r="F27" s="2">
        <f t="shared" si="2"/>
        <v>4.6222222222222218</v>
      </c>
      <c r="G27">
        <v>1120</v>
      </c>
      <c r="H27">
        <v>1120</v>
      </c>
      <c r="I27" s="2">
        <f t="shared" si="3"/>
        <v>2240</v>
      </c>
      <c r="J27" s="2">
        <f t="shared" si="4"/>
        <v>17920</v>
      </c>
      <c r="K27" s="2">
        <f t="shared" si="5"/>
        <v>4.9777777777777779</v>
      </c>
      <c r="L27">
        <v>1120</v>
      </c>
      <c r="M27">
        <v>1120</v>
      </c>
      <c r="N27" s="2">
        <f t="shared" si="6"/>
        <v>2240</v>
      </c>
      <c r="O27" s="2">
        <f t="shared" si="7"/>
        <v>17920</v>
      </c>
      <c r="P27" s="2">
        <f t="shared" si="8"/>
        <v>4.9777777777777779</v>
      </c>
      <c r="Q27">
        <v>960</v>
      </c>
      <c r="R27">
        <v>960</v>
      </c>
      <c r="S27" s="2">
        <f t="shared" si="9"/>
        <v>1920</v>
      </c>
      <c r="T27" s="2">
        <f t="shared" si="10"/>
        <v>15360</v>
      </c>
      <c r="U27" s="2">
        <f t="shared" si="11"/>
        <v>4.2666666666666666</v>
      </c>
      <c r="V27">
        <v>960</v>
      </c>
      <c r="W27">
        <v>960</v>
      </c>
      <c r="X27" s="2">
        <f t="shared" si="12"/>
        <v>1920</v>
      </c>
      <c r="Y27" s="2">
        <f t="shared" si="13"/>
        <v>15360</v>
      </c>
      <c r="Z27" s="2">
        <f t="shared" si="14"/>
        <v>4.2666666666666666</v>
      </c>
      <c r="AA27">
        <v>800</v>
      </c>
      <c r="AB27">
        <v>800</v>
      </c>
      <c r="AC27" s="2">
        <f t="shared" si="15"/>
        <v>1600</v>
      </c>
      <c r="AD27" s="2">
        <f t="shared" si="16"/>
        <v>12800</v>
      </c>
      <c r="AE27" s="2">
        <f t="shared" si="17"/>
        <v>3.5555555555555554</v>
      </c>
      <c r="AF27">
        <v>880</v>
      </c>
      <c r="AG27">
        <v>880</v>
      </c>
      <c r="AH27" s="2">
        <f t="shared" si="18"/>
        <v>1760</v>
      </c>
      <c r="AI27" s="2">
        <f t="shared" si="19"/>
        <v>14080</v>
      </c>
      <c r="AJ27" s="2">
        <f t="shared" si="20"/>
        <v>3.911111111111111</v>
      </c>
      <c r="AK27">
        <v>800</v>
      </c>
      <c r="AL27">
        <v>800</v>
      </c>
      <c r="AM27" s="2">
        <f t="shared" si="21"/>
        <v>1600</v>
      </c>
      <c r="AN27" s="2">
        <f t="shared" si="22"/>
        <v>12800</v>
      </c>
      <c r="AO27" s="2">
        <f t="shared" si="23"/>
        <v>3.5555555555555554</v>
      </c>
      <c r="AP27">
        <v>1120</v>
      </c>
      <c r="AQ27">
        <v>1120</v>
      </c>
      <c r="AR27" s="2">
        <f t="shared" si="24"/>
        <v>2240</v>
      </c>
      <c r="AS27" s="2">
        <f t="shared" si="25"/>
        <v>17920</v>
      </c>
      <c r="AT27" s="2">
        <f t="shared" si="26"/>
        <v>4.9777777777777779</v>
      </c>
      <c r="AU27">
        <v>1200</v>
      </c>
      <c r="AV27">
        <v>1200</v>
      </c>
      <c r="AW27" s="2">
        <f t="shared" si="27"/>
        <v>2400</v>
      </c>
      <c r="AX27" s="2">
        <f t="shared" si="28"/>
        <v>19200</v>
      </c>
      <c r="AY27" s="2">
        <f t="shared" si="29"/>
        <v>5.333333333333333</v>
      </c>
    </row>
    <row r="28" spans="1:51" x14ac:dyDescent="0.3">
      <c r="A28" s="2" t="s">
        <v>32</v>
      </c>
      <c r="B28">
        <v>960</v>
      </c>
      <c r="C28">
        <v>960</v>
      </c>
      <c r="D28" s="2">
        <f t="shared" si="0"/>
        <v>1920</v>
      </c>
      <c r="E28" s="2">
        <f t="shared" si="1"/>
        <v>15360</v>
      </c>
      <c r="F28" s="2">
        <f t="shared" si="2"/>
        <v>4.2666666666666666</v>
      </c>
      <c r="G28">
        <v>960</v>
      </c>
      <c r="H28">
        <v>960</v>
      </c>
      <c r="I28" s="2">
        <f t="shared" si="3"/>
        <v>1920</v>
      </c>
      <c r="J28" s="2">
        <f t="shared" si="4"/>
        <v>15360</v>
      </c>
      <c r="K28" s="2">
        <f t="shared" si="5"/>
        <v>4.2666666666666666</v>
      </c>
      <c r="L28">
        <v>1040</v>
      </c>
      <c r="M28">
        <v>1040</v>
      </c>
      <c r="N28" s="2">
        <f t="shared" si="6"/>
        <v>2080</v>
      </c>
      <c r="O28" s="2">
        <f t="shared" si="7"/>
        <v>16640</v>
      </c>
      <c r="P28" s="2">
        <f t="shared" si="8"/>
        <v>4.6222222222222218</v>
      </c>
      <c r="Q28">
        <v>800</v>
      </c>
      <c r="R28">
        <v>800</v>
      </c>
      <c r="S28" s="2">
        <f t="shared" si="9"/>
        <v>1600</v>
      </c>
      <c r="T28" s="2">
        <f t="shared" si="10"/>
        <v>12800</v>
      </c>
      <c r="U28" s="2">
        <f t="shared" si="11"/>
        <v>3.5555555555555554</v>
      </c>
      <c r="V28">
        <v>960</v>
      </c>
      <c r="W28">
        <v>960</v>
      </c>
      <c r="X28" s="2">
        <f t="shared" si="12"/>
        <v>1920</v>
      </c>
      <c r="Y28" s="2">
        <f t="shared" si="13"/>
        <v>15360</v>
      </c>
      <c r="Z28" s="2">
        <f t="shared" si="14"/>
        <v>4.2666666666666666</v>
      </c>
      <c r="AA28">
        <v>1200</v>
      </c>
      <c r="AB28">
        <v>1200</v>
      </c>
      <c r="AC28" s="2">
        <f t="shared" si="15"/>
        <v>2400</v>
      </c>
      <c r="AD28" s="2">
        <f t="shared" si="16"/>
        <v>19200</v>
      </c>
      <c r="AE28" s="2">
        <f t="shared" si="17"/>
        <v>5.333333333333333</v>
      </c>
      <c r="AF28">
        <v>960</v>
      </c>
      <c r="AG28">
        <v>960</v>
      </c>
      <c r="AH28" s="2">
        <f t="shared" si="18"/>
        <v>1920</v>
      </c>
      <c r="AI28" s="2">
        <f t="shared" si="19"/>
        <v>15360</v>
      </c>
      <c r="AJ28" s="2">
        <f t="shared" si="20"/>
        <v>4.2666666666666666</v>
      </c>
      <c r="AK28">
        <v>880</v>
      </c>
      <c r="AL28">
        <v>880</v>
      </c>
      <c r="AM28" s="2">
        <f t="shared" si="21"/>
        <v>1760</v>
      </c>
      <c r="AN28" s="2">
        <f t="shared" si="22"/>
        <v>14080</v>
      </c>
      <c r="AO28" s="2">
        <f t="shared" si="23"/>
        <v>3.911111111111111</v>
      </c>
      <c r="AP28">
        <v>1040</v>
      </c>
      <c r="AQ28">
        <v>1040</v>
      </c>
      <c r="AR28" s="2">
        <f t="shared" si="24"/>
        <v>2080</v>
      </c>
      <c r="AS28" s="2">
        <f t="shared" si="25"/>
        <v>16640</v>
      </c>
      <c r="AT28" s="2">
        <f t="shared" si="26"/>
        <v>4.6222222222222218</v>
      </c>
      <c r="AU28">
        <v>880</v>
      </c>
      <c r="AV28">
        <v>880</v>
      </c>
      <c r="AW28" s="2">
        <f t="shared" si="27"/>
        <v>1760</v>
      </c>
      <c r="AX28" s="2">
        <f t="shared" si="28"/>
        <v>14080</v>
      </c>
      <c r="AY28" s="2">
        <f t="shared" si="29"/>
        <v>3.911111111111111</v>
      </c>
    </row>
    <row r="29" spans="1:51" x14ac:dyDescent="0.3">
      <c r="A29" s="2" t="s">
        <v>33</v>
      </c>
      <c r="B29">
        <v>1120</v>
      </c>
      <c r="C29">
        <v>1120</v>
      </c>
      <c r="D29" s="2">
        <f t="shared" si="0"/>
        <v>2240</v>
      </c>
      <c r="E29" s="2">
        <f t="shared" si="1"/>
        <v>17920</v>
      </c>
      <c r="F29" s="2">
        <f t="shared" si="2"/>
        <v>4.9777777777777779</v>
      </c>
      <c r="G29">
        <v>880</v>
      </c>
      <c r="H29">
        <v>880</v>
      </c>
      <c r="I29" s="2">
        <f t="shared" si="3"/>
        <v>1760</v>
      </c>
      <c r="J29" s="2">
        <f t="shared" si="4"/>
        <v>14080</v>
      </c>
      <c r="K29" s="2">
        <f t="shared" si="5"/>
        <v>3.911111111111111</v>
      </c>
      <c r="L29">
        <v>1200</v>
      </c>
      <c r="M29">
        <v>1200</v>
      </c>
      <c r="N29" s="2">
        <f t="shared" si="6"/>
        <v>2400</v>
      </c>
      <c r="O29" s="2">
        <f t="shared" si="7"/>
        <v>19200</v>
      </c>
      <c r="P29" s="2">
        <f t="shared" si="8"/>
        <v>5.333333333333333</v>
      </c>
      <c r="Q29">
        <v>1040</v>
      </c>
      <c r="R29">
        <v>1040</v>
      </c>
      <c r="S29" s="2">
        <f t="shared" si="9"/>
        <v>2080</v>
      </c>
      <c r="T29" s="2">
        <f t="shared" si="10"/>
        <v>16640</v>
      </c>
      <c r="U29" s="2">
        <f t="shared" si="11"/>
        <v>4.6222222222222218</v>
      </c>
      <c r="V29">
        <v>960</v>
      </c>
      <c r="W29">
        <v>960</v>
      </c>
      <c r="X29" s="2">
        <f t="shared" si="12"/>
        <v>1920</v>
      </c>
      <c r="Y29" s="2">
        <f t="shared" si="13"/>
        <v>15360</v>
      </c>
      <c r="Z29" s="2">
        <f t="shared" si="14"/>
        <v>4.2666666666666666</v>
      </c>
      <c r="AA29">
        <v>960</v>
      </c>
      <c r="AB29">
        <v>960</v>
      </c>
      <c r="AC29" s="2">
        <f t="shared" si="15"/>
        <v>1920</v>
      </c>
      <c r="AD29" s="2">
        <f t="shared" si="16"/>
        <v>15360</v>
      </c>
      <c r="AE29" s="2">
        <f t="shared" si="17"/>
        <v>4.2666666666666666</v>
      </c>
      <c r="AF29">
        <v>1280</v>
      </c>
      <c r="AG29">
        <v>1280</v>
      </c>
      <c r="AH29" s="2">
        <f t="shared" si="18"/>
        <v>2560</v>
      </c>
      <c r="AI29" s="2">
        <f t="shared" si="19"/>
        <v>20480</v>
      </c>
      <c r="AJ29" s="2">
        <f t="shared" si="20"/>
        <v>5.6888888888888891</v>
      </c>
      <c r="AK29">
        <v>1280</v>
      </c>
      <c r="AL29">
        <v>1280</v>
      </c>
      <c r="AM29" s="2">
        <f t="shared" si="21"/>
        <v>2560</v>
      </c>
      <c r="AN29" s="2">
        <f t="shared" si="22"/>
        <v>20480</v>
      </c>
      <c r="AO29" s="2">
        <f t="shared" si="23"/>
        <v>5.6888888888888891</v>
      </c>
      <c r="AP29">
        <v>960</v>
      </c>
      <c r="AQ29">
        <v>960</v>
      </c>
      <c r="AR29" s="2">
        <f t="shared" si="24"/>
        <v>1920</v>
      </c>
      <c r="AS29" s="2">
        <f t="shared" si="25"/>
        <v>15360</v>
      </c>
      <c r="AT29" s="2">
        <f t="shared" si="26"/>
        <v>4.2666666666666666</v>
      </c>
      <c r="AU29">
        <v>960</v>
      </c>
      <c r="AV29">
        <v>960</v>
      </c>
      <c r="AW29" s="2">
        <f t="shared" si="27"/>
        <v>1920</v>
      </c>
      <c r="AX29" s="2">
        <f t="shared" si="28"/>
        <v>15360</v>
      </c>
      <c r="AY29" s="2">
        <f t="shared" si="29"/>
        <v>4.2666666666666666</v>
      </c>
    </row>
    <row r="30" spans="1:51" x14ac:dyDescent="0.3">
      <c r="A30" s="2" t="s">
        <v>34</v>
      </c>
      <c r="B30">
        <v>1120</v>
      </c>
      <c r="C30">
        <v>1120</v>
      </c>
      <c r="D30" s="2">
        <f t="shared" si="0"/>
        <v>2240</v>
      </c>
      <c r="E30" s="2">
        <f t="shared" si="1"/>
        <v>17920</v>
      </c>
      <c r="F30" s="2">
        <f t="shared" si="2"/>
        <v>4.9777777777777779</v>
      </c>
      <c r="G30">
        <v>1040</v>
      </c>
      <c r="H30">
        <v>1040</v>
      </c>
      <c r="I30" s="2">
        <f t="shared" si="3"/>
        <v>2080</v>
      </c>
      <c r="J30" s="2">
        <f t="shared" si="4"/>
        <v>16640</v>
      </c>
      <c r="K30" s="2">
        <f t="shared" si="5"/>
        <v>4.6222222222222218</v>
      </c>
      <c r="L30">
        <v>1040</v>
      </c>
      <c r="M30">
        <v>1040</v>
      </c>
      <c r="N30" s="2">
        <f t="shared" si="6"/>
        <v>2080</v>
      </c>
      <c r="O30" s="2">
        <f t="shared" si="7"/>
        <v>16640</v>
      </c>
      <c r="P30" s="2">
        <f t="shared" si="8"/>
        <v>4.6222222222222218</v>
      </c>
      <c r="Q30">
        <v>880</v>
      </c>
      <c r="R30">
        <v>880</v>
      </c>
      <c r="S30" s="2">
        <f t="shared" si="9"/>
        <v>1760</v>
      </c>
      <c r="T30" s="2">
        <f t="shared" si="10"/>
        <v>14080</v>
      </c>
      <c r="U30" s="2">
        <f t="shared" si="11"/>
        <v>3.911111111111111</v>
      </c>
      <c r="V30">
        <v>1040</v>
      </c>
      <c r="W30">
        <v>1040</v>
      </c>
      <c r="X30" s="2">
        <f t="shared" si="12"/>
        <v>2080</v>
      </c>
      <c r="Y30" s="2">
        <f t="shared" si="13"/>
        <v>16640</v>
      </c>
      <c r="Z30" s="2">
        <f t="shared" si="14"/>
        <v>4.6222222222222218</v>
      </c>
      <c r="AA30">
        <v>960</v>
      </c>
      <c r="AB30">
        <v>960</v>
      </c>
      <c r="AC30" s="2">
        <f t="shared" si="15"/>
        <v>1920</v>
      </c>
      <c r="AD30" s="2">
        <f t="shared" si="16"/>
        <v>15360</v>
      </c>
      <c r="AE30" s="2">
        <f t="shared" si="17"/>
        <v>4.2666666666666666</v>
      </c>
      <c r="AF30">
        <v>1040</v>
      </c>
      <c r="AG30">
        <v>1040</v>
      </c>
      <c r="AH30" s="2">
        <f t="shared" si="18"/>
        <v>2080</v>
      </c>
      <c r="AI30" s="2">
        <f t="shared" si="19"/>
        <v>16640</v>
      </c>
      <c r="AJ30" s="2">
        <f t="shared" si="20"/>
        <v>4.6222222222222218</v>
      </c>
      <c r="AK30">
        <v>1120</v>
      </c>
      <c r="AL30">
        <v>1120</v>
      </c>
      <c r="AM30" s="2">
        <f t="shared" si="21"/>
        <v>2240</v>
      </c>
      <c r="AN30" s="2">
        <f t="shared" si="22"/>
        <v>17920</v>
      </c>
      <c r="AO30" s="2">
        <f t="shared" si="23"/>
        <v>4.9777777777777779</v>
      </c>
      <c r="AP30">
        <v>1040</v>
      </c>
      <c r="AQ30">
        <v>1040</v>
      </c>
      <c r="AR30" s="2">
        <f t="shared" si="24"/>
        <v>2080</v>
      </c>
      <c r="AS30" s="2">
        <f t="shared" si="25"/>
        <v>16640</v>
      </c>
      <c r="AT30" s="2">
        <f t="shared" si="26"/>
        <v>4.6222222222222218</v>
      </c>
      <c r="AU30">
        <v>960</v>
      </c>
      <c r="AV30">
        <v>960</v>
      </c>
      <c r="AW30" s="2">
        <f t="shared" si="27"/>
        <v>1920</v>
      </c>
      <c r="AX30" s="2">
        <f t="shared" si="28"/>
        <v>15360</v>
      </c>
      <c r="AY30" s="2">
        <f t="shared" si="29"/>
        <v>4.2666666666666666</v>
      </c>
    </row>
    <row r="31" spans="1:51" x14ac:dyDescent="0.3">
      <c r="A31" s="2" t="s">
        <v>35</v>
      </c>
      <c r="B31">
        <v>800</v>
      </c>
      <c r="C31">
        <v>800</v>
      </c>
      <c r="D31" s="2">
        <f t="shared" si="0"/>
        <v>1600</v>
      </c>
      <c r="E31" s="2">
        <f t="shared" si="1"/>
        <v>12800</v>
      </c>
      <c r="F31" s="2">
        <f t="shared" si="2"/>
        <v>3.5555555555555554</v>
      </c>
      <c r="G31">
        <v>1200</v>
      </c>
      <c r="H31">
        <v>1200</v>
      </c>
      <c r="I31" s="2">
        <f t="shared" si="3"/>
        <v>2400</v>
      </c>
      <c r="J31" s="2">
        <f t="shared" si="4"/>
        <v>19200</v>
      </c>
      <c r="K31" s="2">
        <f t="shared" si="5"/>
        <v>5.333333333333333</v>
      </c>
      <c r="L31">
        <v>800</v>
      </c>
      <c r="M31">
        <v>800</v>
      </c>
      <c r="N31" s="2">
        <f t="shared" si="6"/>
        <v>1600</v>
      </c>
      <c r="O31" s="2">
        <f t="shared" si="7"/>
        <v>12800</v>
      </c>
      <c r="P31" s="2">
        <f t="shared" si="8"/>
        <v>3.5555555555555554</v>
      </c>
      <c r="Q31">
        <v>1040</v>
      </c>
      <c r="R31">
        <v>1040</v>
      </c>
      <c r="S31" s="2">
        <f t="shared" si="9"/>
        <v>2080</v>
      </c>
      <c r="T31" s="2">
        <f t="shared" si="10"/>
        <v>16640</v>
      </c>
      <c r="U31" s="2">
        <f t="shared" si="11"/>
        <v>4.6222222222222218</v>
      </c>
      <c r="V31">
        <v>960</v>
      </c>
      <c r="W31">
        <v>960</v>
      </c>
      <c r="X31" s="2">
        <f t="shared" si="12"/>
        <v>1920</v>
      </c>
      <c r="Y31" s="2">
        <f t="shared" si="13"/>
        <v>15360</v>
      </c>
      <c r="Z31" s="2">
        <f t="shared" si="14"/>
        <v>4.2666666666666666</v>
      </c>
      <c r="AA31">
        <v>1040</v>
      </c>
      <c r="AB31">
        <v>1040</v>
      </c>
      <c r="AC31" s="2">
        <f t="shared" si="15"/>
        <v>2080</v>
      </c>
      <c r="AD31" s="2">
        <f t="shared" si="16"/>
        <v>16640</v>
      </c>
      <c r="AE31" s="2">
        <f t="shared" si="17"/>
        <v>4.6222222222222218</v>
      </c>
      <c r="AF31">
        <v>1040</v>
      </c>
      <c r="AG31">
        <v>1040</v>
      </c>
      <c r="AH31" s="2">
        <f t="shared" si="18"/>
        <v>2080</v>
      </c>
      <c r="AI31" s="2">
        <f t="shared" si="19"/>
        <v>16640</v>
      </c>
      <c r="AJ31" s="2">
        <f t="shared" si="20"/>
        <v>4.6222222222222218</v>
      </c>
      <c r="AK31">
        <v>1120</v>
      </c>
      <c r="AL31">
        <v>1120</v>
      </c>
      <c r="AM31" s="2">
        <f t="shared" si="21"/>
        <v>2240</v>
      </c>
      <c r="AN31" s="2">
        <f t="shared" si="22"/>
        <v>17920</v>
      </c>
      <c r="AO31" s="2">
        <f t="shared" si="23"/>
        <v>4.9777777777777779</v>
      </c>
      <c r="AP31">
        <v>1040</v>
      </c>
      <c r="AQ31">
        <v>1040</v>
      </c>
      <c r="AR31" s="2">
        <f t="shared" si="24"/>
        <v>2080</v>
      </c>
      <c r="AS31" s="2">
        <f t="shared" si="25"/>
        <v>16640</v>
      </c>
      <c r="AT31" s="2">
        <f t="shared" si="26"/>
        <v>4.6222222222222218</v>
      </c>
      <c r="AU31">
        <v>1280</v>
      </c>
      <c r="AV31">
        <v>1280</v>
      </c>
      <c r="AW31" s="2">
        <f t="shared" si="27"/>
        <v>2560</v>
      </c>
      <c r="AX31" s="2">
        <f t="shared" si="28"/>
        <v>20480</v>
      </c>
      <c r="AY31" s="2">
        <f t="shared" si="29"/>
        <v>5.6888888888888891</v>
      </c>
    </row>
    <row r="32" spans="1:51" x14ac:dyDescent="0.3">
      <c r="A32" s="2" t="s">
        <v>36</v>
      </c>
      <c r="B32">
        <v>1040</v>
      </c>
      <c r="C32">
        <v>1040</v>
      </c>
      <c r="D32" s="2">
        <f t="shared" si="0"/>
        <v>2080</v>
      </c>
      <c r="E32" s="2">
        <f t="shared" si="1"/>
        <v>16640</v>
      </c>
      <c r="F32" s="2">
        <f t="shared" si="2"/>
        <v>4.6222222222222218</v>
      </c>
      <c r="G32">
        <v>1200</v>
      </c>
      <c r="H32">
        <v>1200</v>
      </c>
      <c r="I32" s="2">
        <f t="shared" si="3"/>
        <v>2400</v>
      </c>
      <c r="J32" s="2">
        <f t="shared" si="4"/>
        <v>19200</v>
      </c>
      <c r="K32" s="2">
        <f t="shared" si="5"/>
        <v>5.333333333333333</v>
      </c>
      <c r="L32">
        <v>1040</v>
      </c>
      <c r="M32">
        <v>1040</v>
      </c>
      <c r="N32" s="2">
        <f t="shared" si="6"/>
        <v>2080</v>
      </c>
      <c r="O32" s="2">
        <f t="shared" si="7"/>
        <v>16640</v>
      </c>
      <c r="P32" s="2">
        <f t="shared" si="8"/>
        <v>4.6222222222222218</v>
      </c>
      <c r="Q32">
        <v>1040</v>
      </c>
      <c r="R32">
        <v>1040</v>
      </c>
      <c r="S32" s="2">
        <f t="shared" si="9"/>
        <v>2080</v>
      </c>
      <c r="T32" s="2">
        <f t="shared" si="10"/>
        <v>16640</v>
      </c>
      <c r="U32" s="2">
        <f t="shared" si="11"/>
        <v>4.6222222222222218</v>
      </c>
      <c r="V32">
        <v>1200</v>
      </c>
      <c r="W32">
        <v>1200</v>
      </c>
      <c r="X32" s="2">
        <f t="shared" si="12"/>
        <v>2400</v>
      </c>
      <c r="Y32" s="2">
        <f t="shared" si="13"/>
        <v>19200</v>
      </c>
      <c r="Z32" s="2">
        <f t="shared" si="14"/>
        <v>5.333333333333333</v>
      </c>
      <c r="AA32">
        <v>1040</v>
      </c>
      <c r="AB32">
        <v>1040</v>
      </c>
      <c r="AC32" s="2">
        <f t="shared" si="15"/>
        <v>2080</v>
      </c>
      <c r="AD32" s="2">
        <f t="shared" si="16"/>
        <v>16640</v>
      </c>
      <c r="AE32" s="2">
        <f t="shared" si="17"/>
        <v>4.6222222222222218</v>
      </c>
      <c r="AF32">
        <v>1120</v>
      </c>
      <c r="AG32">
        <v>1120</v>
      </c>
      <c r="AH32" s="2">
        <f t="shared" si="18"/>
        <v>2240</v>
      </c>
      <c r="AI32" s="2">
        <f t="shared" si="19"/>
        <v>17920</v>
      </c>
      <c r="AJ32" s="2">
        <f t="shared" si="20"/>
        <v>4.9777777777777779</v>
      </c>
      <c r="AK32">
        <v>1040</v>
      </c>
      <c r="AL32">
        <v>1040</v>
      </c>
      <c r="AM32" s="2">
        <f t="shared" si="21"/>
        <v>2080</v>
      </c>
      <c r="AN32" s="2">
        <f t="shared" si="22"/>
        <v>16640</v>
      </c>
      <c r="AO32" s="2">
        <f t="shared" si="23"/>
        <v>4.6222222222222218</v>
      </c>
      <c r="AP32">
        <v>1120</v>
      </c>
      <c r="AQ32">
        <v>1120</v>
      </c>
      <c r="AR32" s="2">
        <f t="shared" si="24"/>
        <v>2240</v>
      </c>
      <c r="AS32" s="2">
        <f t="shared" si="25"/>
        <v>17920</v>
      </c>
      <c r="AT32" s="2">
        <f t="shared" si="26"/>
        <v>4.9777777777777779</v>
      </c>
      <c r="AU32">
        <v>1040</v>
      </c>
      <c r="AV32">
        <v>1040</v>
      </c>
      <c r="AW32" s="2">
        <f t="shared" si="27"/>
        <v>2080</v>
      </c>
      <c r="AX32" s="2">
        <f t="shared" si="28"/>
        <v>16640</v>
      </c>
      <c r="AY32" s="2">
        <f t="shared" si="29"/>
        <v>4.6222222222222218</v>
      </c>
    </row>
    <row r="33" spans="1:51" x14ac:dyDescent="0.3">
      <c r="A33" s="2" t="s">
        <v>37</v>
      </c>
      <c r="B33">
        <v>1040</v>
      </c>
      <c r="C33">
        <v>1040</v>
      </c>
      <c r="D33" s="2">
        <f t="shared" si="0"/>
        <v>2080</v>
      </c>
      <c r="E33" s="2">
        <f t="shared" si="1"/>
        <v>16640</v>
      </c>
      <c r="F33" s="2">
        <f t="shared" si="2"/>
        <v>4.6222222222222218</v>
      </c>
      <c r="G33">
        <v>1040</v>
      </c>
      <c r="H33">
        <v>1040</v>
      </c>
      <c r="I33" s="2">
        <f t="shared" si="3"/>
        <v>2080</v>
      </c>
      <c r="J33" s="2">
        <f t="shared" si="4"/>
        <v>16640</v>
      </c>
      <c r="K33" s="2">
        <f t="shared" si="5"/>
        <v>4.6222222222222218</v>
      </c>
      <c r="L33">
        <v>1200</v>
      </c>
      <c r="M33">
        <v>1200</v>
      </c>
      <c r="N33" s="2">
        <f t="shared" si="6"/>
        <v>2400</v>
      </c>
      <c r="O33" s="2">
        <f t="shared" si="7"/>
        <v>19200</v>
      </c>
      <c r="P33" s="2">
        <f t="shared" si="8"/>
        <v>5.333333333333333</v>
      </c>
      <c r="Q33">
        <v>1280</v>
      </c>
      <c r="R33">
        <v>1280</v>
      </c>
      <c r="S33" s="2">
        <f t="shared" si="9"/>
        <v>2560</v>
      </c>
      <c r="T33" s="2">
        <f t="shared" si="10"/>
        <v>20480</v>
      </c>
      <c r="U33" s="2">
        <f t="shared" si="11"/>
        <v>5.6888888888888891</v>
      </c>
      <c r="V33">
        <v>1040</v>
      </c>
      <c r="W33">
        <v>1040</v>
      </c>
      <c r="X33" s="2">
        <f t="shared" si="12"/>
        <v>2080</v>
      </c>
      <c r="Y33" s="2">
        <f t="shared" si="13"/>
        <v>16640</v>
      </c>
      <c r="Z33" s="2">
        <f t="shared" si="14"/>
        <v>4.6222222222222218</v>
      </c>
      <c r="AA33">
        <v>960</v>
      </c>
      <c r="AB33">
        <v>960</v>
      </c>
      <c r="AC33" s="2">
        <f t="shared" si="15"/>
        <v>1920</v>
      </c>
      <c r="AD33" s="2">
        <f t="shared" si="16"/>
        <v>15360</v>
      </c>
      <c r="AE33" s="2">
        <f t="shared" si="17"/>
        <v>4.2666666666666666</v>
      </c>
      <c r="AF33">
        <v>1040</v>
      </c>
      <c r="AG33">
        <v>1040</v>
      </c>
      <c r="AH33" s="2">
        <f t="shared" si="18"/>
        <v>2080</v>
      </c>
      <c r="AI33" s="2">
        <f t="shared" si="19"/>
        <v>16640</v>
      </c>
      <c r="AJ33" s="2">
        <f t="shared" si="20"/>
        <v>4.6222222222222218</v>
      </c>
      <c r="AK33">
        <v>1280</v>
      </c>
      <c r="AL33">
        <v>1280</v>
      </c>
      <c r="AM33" s="2">
        <f t="shared" si="21"/>
        <v>2560</v>
      </c>
      <c r="AN33" s="2">
        <f t="shared" si="22"/>
        <v>20480</v>
      </c>
      <c r="AO33" s="2">
        <f t="shared" si="23"/>
        <v>5.6888888888888891</v>
      </c>
      <c r="AP33">
        <v>960</v>
      </c>
      <c r="AQ33">
        <v>960</v>
      </c>
      <c r="AR33" s="2">
        <f t="shared" si="24"/>
        <v>1920</v>
      </c>
      <c r="AS33" s="2">
        <f t="shared" si="25"/>
        <v>15360</v>
      </c>
      <c r="AT33" s="2">
        <f t="shared" si="26"/>
        <v>4.2666666666666666</v>
      </c>
      <c r="AU33">
        <v>1040</v>
      </c>
      <c r="AV33">
        <v>1040</v>
      </c>
      <c r="AW33" s="2">
        <f t="shared" si="27"/>
        <v>2080</v>
      </c>
      <c r="AX33" s="2">
        <f t="shared" si="28"/>
        <v>16640</v>
      </c>
      <c r="AY33" s="2">
        <f t="shared" si="29"/>
        <v>4.6222222222222218</v>
      </c>
    </row>
    <row r="34" spans="1:51" x14ac:dyDescent="0.3">
      <c r="A34" s="2" t="s">
        <v>38</v>
      </c>
      <c r="B34">
        <v>880</v>
      </c>
      <c r="C34">
        <v>880</v>
      </c>
      <c r="D34" s="2">
        <f t="shared" si="0"/>
        <v>1760</v>
      </c>
      <c r="E34" s="2">
        <f t="shared" si="1"/>
        <v>14080</v>
      </c>
      <c r="F34" s="2">
        <f t="shared" si="2"/>
        <v>3.911111111111111</v>
      </c>
      <c r="G34">
        <v>1040</v>
      </c>
      <c r="H34">
        <v>1040</v>
      </c>
      <c r="I34" s="2">
        <f t="shared" si="3"/>
        <v>2080</v>
      </c>
      <c r="J34" s="2">
        <f t="shared" si="4"/>
        <v>16640</v>
      </c>
      <c r="K34" s="2">
        <f t="shared" si="5"/>
        <v>4.6222222222222218</v>
      </c>
      <c r="L34">
        <v>960</v>
      </c>
      <c r="M34">
        <v>960</v>
      </c>
      <c r="N34" s="2">
        <f t="shared" si="6"/>
        <v>1920</v>
      </c>
      <c r="O34" s="2">
        <f t="shared" si="7"/>
        <v>15360</v>
      </c>
      <c r="P34" s="2">
        <f t="shared" si="8"/>
        <v>4.2666666666666666</v>
      </c>
      <c r="Q34">
        <v>1040</v>
      </c>
      <c r="R34">
        <v>1040</v>
      </c>
      <c r="S34" s="2">
        <f t="shared" si="9"/>
        <v>2080</v>
      </c>
      <c r="T34" s="2">
        <f t="shared" si="10"/>
        <v>16640</v>
      </c>
      <c r="U34" s="2">
        <f t="shared" si="11"/>
        <v>4.6222222222222218</v>
      </c>
      <c r="V34">
        <v>960</v>
      </c>
      <c r="W34">
        <v>960</v>
      </c>
      <c r="X34" s="2">
        <f t="shared" si="12"/>
        <v>1920</v>
      </c>
      <c r="Y34" s="2">
        <f t="shared" si="13"/>
        <v>15360</v>
      </c>
      <c r="Z34" s="2">
        <f t="shared" si="14"/>
        <v>4.2666666666666666</v>
      </c>
      <c r="AA34">
        <v>1200</v>
      </c>
      <c r="AB34">
        <v>1200</v>
      </c>
      <c r="AC34" s="2">
        <f t="shared" si="15"/>
        <v>2400</v>
      </c>
      <c r="AD34" s="2">
        <f t="shared" si="16"/>
        <v>19200</v>
      </c>
      <c r="AE34" s="2">
        <f t="shared" si="17"/>
        <v>5.333333333333333</v>
      </c>
      <c r="AF34">
        <v>1120</v>
      </c>
      <c r="AG34">
        <v>1120</v>
      </c>
      <c r="AH34" s="2">
        <f t="shared" si="18"/>
        <v>2240</v>
      </c>
      <c r="AI34" s="2">
        <f t="shared" si="19"/>
        <v>17920</v>
      </c>
      <c r="AJ34" s="2">
        <f t="shared" si="20"/>
        <v>4.9777777777777779</v>
      </c>
      <c r="AK34">
        <v>960</v>
      </c>
      <c r="AL34">
        <v>960</v>
      </c>
      <c r="AM34" s="2">
        <f t="shared" si="21"/>
        <v>1920</v>
      </c>
      <c r="AN34" s="2">
        <f t="shared" si="22"/>
        <v>15360</v>
      </c>
      <c r="AO34" s="2">
        <f t="shared" si="23"/>
        <v>4.2666666666666666</v>
      </c>
      <c r="AP34">
        <v>960</v>
      </c>
      <c r="AQ34">
        <v>960</v>
      </c>
      <c r="AR34" s="2">
        <f t="shared" si="24"/>
        <v>1920</v>
      </c>
      <c r="AS34" s="2">
        <f t="shared" si="25"/>
        <v>15360</v>
      </c>
      <c r="AT34" s="2">
        <f t="shared" si="26"/>
        <v>4.2666666666666666</v>
      </c>
      <c r="AU34">
        <v>1040</v>
      </c>
      <c r="AV34">
        <v>1040</v>
      </c>
      <c r="AW34" s="2">
        <f t="shared" si="27"/>
        <v>2080</v>
      </c>
      <c r="AX34" s="2">
        <f t="shared" si="28"/>
        <v>16640</v>
      </c>
      <c r="AY34" s="2">
        <f t="shared" si="29"/>
        <v>4.6222222222222218</v>
      </c>
    </row>
    <row r="35" spans="1:51" x14ac:dyDescent="0.3">
      <c r="A35" s="2" t="s">
        <v>39</v>
      </c>
      <c r="B35">
        <v>960</v>
      </c>
      <c r="C35">
        <v>960</v>
      </c>
      <c r="D35" s="2">
        <f t="shared" si="0"/>
        <v>1920</v>
      </c>
      <c r="E35" s="2">
        <f t="shared" si="1"/>
        <v>15360</v>
      </c>
      <c r="F35" s="2">
        <f t="shared" si="2"/>
        <v>4.2666666666666666</v>
      </c>
      <c r="G35">
        <v>1040</v>
      </c>
      <c r="H35">
        <v>1040</v>
      </c>
      <c r="I35" s="2">
        <f t="shared" si="3"/>
        <v>2080</v>
      </c>
      <c r="J35" s="2">
        <f t="shared" si="4"/>
        <v>16640</v>
      </c>
      <c r="K35" s="2">
        <f t="shared" si="5"/>
        <v>4.6222222222222218</v>
      </c>
      <c r="L35">
        <v>1280</v>
      </c>
      <c r="M35">
        <v>1280</v>
      </c>
      <c r="N35" s="2">
        <f t="shared" si="6"/>
        <v>2560</v>
      </c>
      <c r="O35" s="2">
        <f t="shared" si="7"/>
        <v>20480</v>
      </c>
      <c r="P35" s="2">
        <f t="shared" si="8"/>
        <v>5.6888888888888891</v>
      </c>
      <c r="Q35">
        <v>1200</v>
      </c>
      <c r="R35">
        <v>1200</v>
      </c>
      <c r="S35" s="2">
        <f t="shared" si="9"/>
        <v>2400</v>
      </c>
      <c r="T35" s="2">
        <f t="shared" si="10"/>
        <v>19200</v>
      </c>
      <c r="U35" s="2">
        <f t="shared" si="11"/>
        <v>5.333333333333333</v>
      </c>
      <c r="V35">
        <v>1120</v>
      </c>
      <c r="W35">
        <v>1120</v>
      </c>
      <c r="X35" s="2">
        <f t="shared" si="12"/>
        <v>2240</v>
      </c>
      <c r="Y35" s="2">
        <f t="shared" si="13"/>
        <v>17920</v>
      </c>
      <c r="Z35" s="2">
        <f t="shared" si="14"/>
        <v>4.9777777777777779</v>
      </c>
      <c r="AA35">
        <v>1280</v>
      </c>
      <c r="AB35">
        <v>1280</v>
      </c>
      <c r="AC35" s="2">
        <f t="shared" si="15"/>
        <v>2560</v>
      </c>
      <c r="AD35" s="2">
        <f t="shared" si="16"/>
        <v>20480</v>
      </c>
      <c r="AE35" s="2">
        <f t="shared" si="17"/>
        <v>5.6888888888888891</v>
      </c>
      <c r="AF35">
        <v>1200</v>
      </c>
      <c r="AG35">
        <v>1200</v>
      </c>
      <c r="AH35" s="2">
        <f t="shared" si="18"/>
        <v>2400</v>
      </c>
      <c r="AI35" s="2">
        <f t="shared" si="19"/>
        <v>19200</v>
      </c>
      <c r="AJ35" s="2">
        <f t="shared" si="20"/>
        <v>5.333333333333333</v>
      </c>
      <c r="AK35">
        <v>1200</v>
      </c>
      <c r="AL35">
        <v>1200</v>
      </c>
      <c r="AM35" s="2">
        <f t="shared" si="21"/>
        <v>2400</v>
      </c>
      <c r="AN35" s="2">
        <f t="shared" si="22"/>
        <v>19200</v>
      </c>
      <c r="AO35" s="2">
        <f t="shared" si="23"/>
        <v>5.333333333333333</v>
      </c>
      <c r="AP35">
        <v>1120</v>
      </c>
      <c r="AQ35">
        <v>1120</v>
      </c>
      <c r="AR35" s="2">
        <f t="shared" si="24"/>
        <v>2240</v>
      </c>
      <c r="AS35" s="2">
        <f t="shared" si="25"/>
        <v>17920</v>
      </c>
      <c r="AT35" s="2">
        <f t="shared" si="26"/>
        <v>4.9777777777777779</v>
      </c>
      <c r="AU35">
        <v>880</v>
      </c>
      <c r="AV35">
        <v>880</v>
      </c>
      <c r="AW35" s="2">
        <f t="shared" si="27"/>
        <v>1760</v>
      </c>
      <c r="AX35" s="2">
        <f t="shared" si="28"/>
        <v>14080</v>
      </c>
      <c r="AY35" s="2">
        <f t="shared" si="29"/>
        <v>3.911111111111111</v>
      </c>
    </row>
    <row r="36" spans="1:51" x14ac:dyDescent="0.3">
      <c r="A36" s="2" t="s">
        <v>40</v>
      </c>
      <c r="B36">
        <v>1040</v>
      </c>
      <c r="C36">
        <v>1040</v>
      </c>
      <c r="D36" s="2">
        <f t="shared" si="0"/>
        <v>2080</v>
      </c>
      <c r="E36" s="2">
        <f t="shared" si="1"/>
        <v>16640</v>
      </c>
      <c r="F36" s="2">
        <f t="shared" si="2"/>
        <v>4.6222222222222218</v>
      </c>
      <c r="G36">
        <v>1040</v>
      </c>
      <c r="H36">
        <v>1040</v>
      </c>
      <c r="I36" s="2">
        <f t="shared" si="3"/>
        <v>2080</v>
      </c>
      <c r="J36" s="2">
        <f t="shared" si="4"/>
        <v>16640</v>
      </c>
      <c r="K36" s="2">
        <f t="shared" si="5"/>
        <v>4.6222222222222218</v>
      </c>
      <c r="L36">
        <v>720</v>
      </c>
      <c r="M36">
        <v>720</v>
      </c>
      <c r="N36" s="2">
        <f t="shared" si="6"/>
        <v>1440</v>
      </c>
      <c r="O36" s="2">
        <f t="shared" si="7"/>
        <v>11520</v>
      </c>
      <c r="P36" s="2">
        <f t="shared" si="8"/>
        <v>3.2</v>
      </c>
      <c r="Q36">
        <v>880</v>
      </c>
      <c r="R36">
        <v>880</v>
      </c>
      <c r="S36" s="2">
        <f t="shared" si="9"/>
        <v>1760</v>
      </c>
      <c r="T36" s="2">
        <f t="shared" si="10"/>
        <v>14080</v>
      </c>
      <c r="U36" s="2">
        <f t="shared" si="11"/>
        <v>3.911111111111111</v>
      </c>
      <c r="V36">
        <v>1120</v>
      </c>
      <c r="W36">
        <v>1120</v>
      </c>
      <c r="X36" s="2">
        <f t="shared" si="12"/>
        <v>2240</v>
      </c>
      <c r="Y36" s="2">
        <f t="shared" si="13"/>
        <v>17920</v>
      </c>
      <c r="Z36" s="2">
        <f t="shared" si="14"/>
        <v>4.9777777777777779</v>
      </c>
      <c r="AA36">
        <v>1200</v>
      </c>
      <c r="AB36">
        <v>1200</v>
      </c>
      <c r="AC36" s="2">
        <f t="shared" si="15"/>
        <v>2400</v>
      </c>
      <c r="AD36" s="2">
        <f t="shared" si="16"/>
        <v>19200</v>
      </c>
      <c r="AE36" s="2">
        <f t="shared" si="17"/>
        <v>5.333333333333333</v>
      </c>
      <c r="AF36">
        <v>960</v>
      </c>
      <c r="AG36">
        <v>960</v>
      </c>
      <c r="AH36" s="2">
        <f t="shared" si="18"/>
        <v>1920</v>
      </c>
      <c r="AI36" s="2">
        <f t="shared" si="19"/>
        <v>15360</v>
      </c>
      <c r="AJ36" s="2">
        <f t="shared" si="20"/>
        <v>4.2666666666666666</v>
      </c>
      <c r="AK36">
        <v>1040</v>
      </c>
      <c r="AL36">
        <v>1040</v>
      </c>
      <c r="AM36" s="2">
        <f t="shared" si="21"/>
        <v>2080</v>
      </c>
      <c r="AN36" s="2">
        <f t="shared" si="22"/>
        <v>16640</v>
      </c>
      <c r="AO36" s="2">
        <f t="shared" si="23"/>
        <v>4.6222222222222218</v>
      </c>
      <c r="AP36">
        <v>880</v>
      </c>
      <c r="AQ36">
        <v>880</v>
      </c>
      <c r="AR36" s="2">
        <f t="shared" si="24"/>
        <v>1760</v>
      </c>
      <c r="AS36" s="2">
        <f t="shared" si="25"/>
        <v>14080</v>
      </c>
      <c r="AT36" s="2">
        <f t="shared" si="26"/>
        <v>3.911111111111111</v>
      </c>
      <c r="AU36">
        <v>960</v>
      </c>
      <c r="AV36">
        <v>960</v>
      </c>
      <c r="AW36" s="2">
        <f t="shared" si="27"/>
        <v>1920</v>
      </c>
      <c r="AX36" s="2">
        <f t="shared" si="28"/>
        <v>15360</v>
      </c>
      <c r="AY36" s="2">
        <f t="shared" si="29"/>
        <v>4.2666666666666666</v>
      </c>
    </row>
    <row r="37" spans="1:51" x14ac:dyDescent="0.3">
      <c r="A37" s="2" t="s">
        <v>41</v>
      </c>
      <c r="B37">
        <v>960</v>
      </c>
      <c r="C37">
        <v>960</v>
      </c>
      <c r="D37" s="2">
        <f t="shared" si="0"/>
        <v>1920</v>
      </c>
      <c r="E37" s="2">
        <f t="shared" si="1"/>
        <v>15360</v>
      </c>
      <c r="F37" s="2">
        <f t="shared" si="2"/>
        <v>4.2666666666666666</v>
      </c>
      <c r="G37">
        <v>960</v>
      </c>
      <c r="H37">
        <v>960</v>
      </c>
      <c r="I37" s="2">
        <f t="shared" si="3"/>
        <v>1920</v>
      </c>
      <c r="J37" s="2">
        <f t="shared" si="4"/>
        <v>15360</v>
      </c>
      <c r="K37" s="2">
        <f t="shared" si="5"/>
        <v>4.2666666666666666</v>
      </c>
      <c r="L37">
        <v>960</v>
      </c>
      <c r="M37">
        <v>960</v>
      </c>
      <c r="N37" s="2">
        <f t="shared" si="6"/>
        <v>1920</v>
      </c>
      <c r="O37" s="2">
        <f t="shared" si="7"/>
        <v>15360</v>
      </c>
      <c r="P37" s="2">
        <f t="shared" si="8"/>
        <v>4.2666666666666666</v>
      </c>
      <c r="Q37">
        <v>880</v>
      </c>
      <c r="R37">
        <v>880</v>
      </c>
      <c r="S37" s="2">
        <f t="shared" si="9"/>
        <v>1760</v>
      </c>
      <c r="T37" s="2">
        <f t="shared" si="10"/>
        <v>14080</v>
      </c>
      <c r="U37" s="2">
        <f t="shared" si="11"/>
        <v>3.911111111111111</v>
      </c>
      <c r="V37">
        <v>720</v>
      </c>
      <c r="W37">
        <v>720</v>
      </c>
      <c r="X37" s="2">
        <f t="shared" si="12"/>
        <v>1440</v>
      </c>
      <c r="Y37" s="2">
        <f t="shared" si="13"/>
        <v>11520</v>
      </c>
      <c r="Z37" s="2">
        <f t="shared" si="14"/>
        <v>3.2</v>
      </c>
      <c r="AA37">
        <v>960</v>
      </c>
      <c r="AB37">
        <v>960</v>
      </c>
      <c r="AC37" s="2">
        <f t="shared" si="15"/>
        <v>1920</v>
      </c>
      <c r="AD37" s="2">
        <f t="shared" si="16"/>
        <v>15360</v>
      </c>
      <c r="AE37" s="2">
        <f t="shared" si="17"/>
        <v>4.2666666666666666</v>
      </c>
      <c r="AF37">
        <v>960</v>
      </c>
      <c r="AG37">
        <v>960</v>
      </c>
      <c r="AH37" s="2">
        <f t="shared" si="18"/>
        <v>1920</v>
      </c>
      <c r="AI37" s="2">
        <f t="shared" si="19"/>
        <v>15360</v>
      </c>
      <c r="AJ37" s="2">
        <f t="shared" si="20"/>
        <v>4.2666666666666666</v>
      </c>
      <c r="AK37">
        <v>720</v>
      </c>
      <c r="AL37">
        <v>720</v>
      </c>
      <c r="AM37" s="2">
        <f t="shared" si="21"/>
        <v>1440</v>
      </c>
      <c r="AN37" s="2">
        <f t="shared" si="22"/>
        <v>11520</v>
      </c>
      <c r="AO37" s="2">
        <f t="shared" si="23"/>
        <v>3.2</v>
      </c>
      <c r="AP37">
        <v>880</v>
      </c>
      <c r="AQ37">
        <v>880</v>
      </c>
      <c r="AR37" s="2">
        <f t="shared" si="24"/>
        <v>1760</v>
      </c>
      <c r="AS37" s="2">
        <f t="shared" si="25"/>
        <v>14080</v>
      </c>
      <c r="AT37" s="2">
        <f t="shared" si="26"/>
        <v>3.911111111111111</v>
      </c>
      <c r="AU37">
        <v>1040</v>
      </c>
      <c r="AV37">
        <v>1040</v>
      </c>
      <c r="AW37" s="2">
        <f t="shared" si="27"/>
        <v>2080</v>
      </c>
      <c r="AX37" s="2">
        <f t="shared" si="28"/>
        <v>16640</v>
      </c>
      <c r="AY37" s="2">
        <f t="shared" si="29"/>
        <v>4.6222222222222218</v>
      </c>
    </row>
    <row r="38" spans="1:51" x14ac:dyDescent="0.3">
      <c r="A38" s="2" t="s">
        <v>42</v>
      </c>
      <c r="B38">
        <v>960</v>
      </c>
      <c r="C38">
        <v>960</v>
      </c>
      <c r="D38" s="2">
        <f t="shared" si="0"/>
        <v>1920</v>
      </c>
      <c r="E38" s="2">
        <f t="shared" si="1"/>
        <v>15360</v>
      </c>
      <c r="F38" s="2">
        <f t="shared" si="2"/>
        <v>4.2666666666666666</v>
      </c>
      <c r="G38">
        <v>1040</v>
      </c>
      <c r="H38">
        <v>1040</v>
      </c>
      <c r="I38" s="2">
        <f t="shared" si="3"/>
        <v>2080</v>
      </c>
      <c r="J38" s="2">
        <f t="shared" si="4"/>
        <v>16640</v>
      </c>
      <c r="K38" s="2">
        <f t="shared" si="5"/>
        <v>4.6222222222222218</v>
      </c>
      <c r="L38">
        <v>880</v>
      </c>
      <c r="M38">
        <v>880</v>
      </c>
      <c r="N38" s="2">
        <f t="shared" si="6"/>
        <v>1760</v>
      </c>
      <c r="O38" s="2">
        <f t="shared" si="7"/>
        <v>14080</v>
      </c>
      <c r="P38" s="2">
        <f t="shared" si="8"/>
        <v>3.911111111111111</v>
      </c>
      <c r="Q38">
        <v>1040</v>
      </c>
      <c r="R38">
        <v>1040</v>
      </c>
      <c r="S38" s="2">
        <f t="shared" si="9"/>
        <v>2080</v>
      </c>
      <c r="T38" s="2">
        <f t="shared" si="10"/>
        <v>16640</v>
      </c>
      <c r="U38" s="2">
        <f t="shared" si="11"/>
        <v>4.6222222222222218</v>
      </c>
      <c r="V38">
        <v>880</v>
      </c>
      <c r="W38">
        <v>880</v>
      </c>
      <c r="X38" s="2">
        <f t="shared" si="12"/>
        <v>1760</v>
      </c>
      <c r="Y38" s="2">
        <f t="shared" si="13"/>
        <v>14080</v>
      </c>
      <c r="Z38" s="2">
        <f t="shared" si="14"/>
        <v>3.911111111111111</v>
      </c>
      <c r="AA38">
        <v>1040</v>
      </c>
      <c r="AB38">
        <v>1040</v>
      </c>
      <c r="AC38" s="2">
        <f t="shared" si="15"/>
        <v>2080</v>
      </c>
      <c r="AD38" s="2">
        <f t="shared" si="16"/>
        <v>16640</v>
      </c>
      <c r="AE38" s="2">
        <f t="shared" si="17"/>
        <v>4.6222222222222218</v>
      </c>
      <c r="AF38">
        <v>1200</v>
      </c>
      <c r="AG38">
        <v>1200</v>
      </c>
      <c r="AH38" s="2">
        <f t="shared" si="18"/>
        <v>2400</v>
      </c>
      <c r="AI38" s="2">
        <f t="shared" si="19"/>
        <v>19200</v>
      </c>
      <c r="AJ38" s="2">
        <f t="shared" si="20"/>
        <v>5.333333333333333</v>
      </c>
      <c r="AK38">
        <v>1040</v>
      </c>
      <c r="AL38">
        <v>1040</v>
      </c>
      <c r="AM38" s="2">
        <f t="shared" si="21"/>
        <v>2080</v>
      </c>
      <c r="AN38" s="2">
        <f t="shared" si="22"/>
        <v>16640</v>
      </c>
      <c r="AO38" s="2">
        <f t="shared" si="23"/>
        <v>4.6222222222222218</v>
      </c>
      <c r="AP38">
        <v>1040</v>
      </c>
      <c r="AQ38">
        <v>1040</v>
      </c>
      <c r="AR38" s="2">
        <f t="shared" si="24"/>
        <v>2080</v>
      </c>
      <c r="AS38" s="2">
        <f t="shared" si="25"/>
        <v>16640</v>
      </c>
      <c r="AT38" s="2">
        <f t="shared" si="26"/>
        <v>4.6222222222222218</v>
      </c>
      <c r="AU38">
        <v>1040</v>
      </c>
      <c r="AV38">
        <v>1040</v>
      </c>
      <c r="AW38" s="2">
        <f t="shared" si="27"/>
        <v>2080</v>
      </c>
      <c r="AX38" s="2">
        <f t="shared" si="28"/>
        <v>16640</v>
      </c>
      <c r="AY38" s="2">
        <f t="shared" si="29"/>
        <v>4.6222222222222218</v>
      </c>
    </row>
    <row r="39" spans="1:51" x14ac:dyDescent="0.3">
      <c r="A39" s="2" t="s">
        <v>43</v>
      </c>
      <c r="B39">
        <v>1120</v>
      </c>
      <c r="C39">
        <v>1120</v>
      </c>
      <c r="D39" s="2">
        <f t="shared" si="0"/>
        <v>2240</v>
      </c>
      <c r="E39" s="2">
        <f t="shared" si="1"/>
        <v>17920</v>
      </c>
      <c r="F39" s="2">
        <f t="shared" si="2"/>
        <v>4.9777777777777779</v>
      </c>
      <c r="G39">
        <v>1200</v>
      </c>
      <c r="H39">
        <v>1200</v>
      </c>
      <c r="I39" s="2">
        <f t="shared" si="3"/>
        <v>2400</v>
      </c>
      <c r="J39" s="2">
        <f t="shared" si="4"/>
        <v>19200</v>
      </c>
      <c r="K39" s="2">
        <f t="shared" si="5"/>
        <v>5.333333333333333</v>
      </c>
      <c r="L39">
        <v>1120</v>
      </c>
      <c r="M39">
        <v>1120</v>
      </c>
      <c r="N39" s="2">
        <f t="shared" si="6"/>
        <v>2240</v>
      </c>
      <c r="O39" s="2">
        <f t="shared" si="7"/>
        <v>17920</v>
      </c>
      <c r="P39" s="2">
        <f t="shared" si="8"/>
        <v>4.9777777777777779</v>
      </c>
      <c r="Q39">
        <v>1040</v>
      </c>
      <c r="R39">
        <v>1040</v>
      </c>
      <c r="S39" s="2">
        <f t="shared" si="9"/>
        <v>2080</v>
      </c>
      <c r="T39" s="2">
        <f t="shared" si="10"/>
        <v>16640</v>
      </c>
      <c r="U39" s="2">
        <f t="shared" si="11"/>
        <v>4.6222222222222218</v>
      </c>
      <c r="V39">
        <v>1120</v>
      </c>
      <c r="W39">
        <v>1120</v>
      </c>
      <c r="X39" s="2">
        <f t="shared" si="12"/>
        <v>2240</v>
      </c>
      <c r="Y39" s="2">
        <f t="shared" si="13"/>
        <v>17920</v>
      </c>
      <c r="Z39" s="2">
        <f t="shared" si="14"/>
        <v>4.9777777777777779</v>
      </c>
      <c r="AA39">
        <v>1040</v>
      </c>
      <c r="AB39">
        <v>1040</v>
      </c>
      <c r="AC39" s="2">
        <f t="shared" si="15"/>
        <v>2080</v>
      </c>
      <c r="AD39" s="2">
        <f t="shared" si="16"/>
        <v>16640</v>
      </c>
      <c r="AE39" s="2">
        <f t="shared" si="17"/>
        <v>4.6222222222222218</v>
      </c>
      <c r="AF39">
        <v>1040</v>
      </c>
      <c r="AG39">
        <v>1040</v>
      </c>
      <c r="AH39" s="2">
        <f t="shared" si="18"/>
        <v>2080</v>
      </c>
      <c r="AI39" s="2">
        <f t="shared" si="19"/>
        <v>16640</v>
      </c>
      <c r="AJ39" s="2">
        <f t="shared" si="20"/>
        <v>4.6222222222222218</v>
      </c>
      <c r="AK39">
        <v>1040</v>
      </c>
      <c r="AL39">
        <v>1040</v>
      </c>
      <c r="AM39" s="2">
        <f t="shared" si="21"/>
        <v>2080</v>
      </c>
      <c r="AN39" s="2">
        <f t="shared" si="22"/>
        <v>16640</v>
      </c>
      <c r="AO39" s="2">
        <f t="shared" si="23"/>
        <v>4.6222222222222218</v>
      </c>
      <c r="AP39">
        <v>1120</v>
      </c>
      <c r="AQ39">
        <v>1120</v>
      </c>
      <c r="AR39" s="2">
        <f t="shared" si="24"/>
        <v>2240</v>
      </c>
      <c r="AS39" s="2">
        <f t="shared" si="25"/>
        <v>17920</v>
      </c>
      <c r="AT39" s="2">
        <f t="shared" si="26"/>
        <v>4.9777777777777779</v>
      </c>
      <c r="AU39">
        <v>1040</v>
      </c>
      <c r="AV39">
        <v>1040</v>
      </c>
      <c r="AW39" s="2">
        <f t="shared" si="27"/>
        <v>2080</v>
      </c>
      <c r="AX39" s="2">
        <f t="shared" si="28"/>
        <v>16640</v>
      </c>
      <c r="AY39" s="2">
        <f t="shared" si="29"/>
        <v>4.6222222222222218</v>
      </c>
    </row>
    <row r="40" spans="1:51" x14ac:dyDescent="0.3">
      <c r="A40" s="2" t="s">
        <v>44</v>
      </c>
      <c r="B40">
        <v>1040</v>
      </c>
      <c r="C40">
        <v>1040</v>
      </c>
      <c r="D40" s="2">
        <f t="shared" si="0"/>
        <v>2080</v>
      </c>
      <c r="E40" s="2">
        <f t="shared" si="1"/>
        <v>16640</v>
      </c>
      <c r="F40" s="2">
        <f t="shared" si="2"/>
        <v>4.6222222222222218</v>
      </c>
      <c r="G40">
        <v>960</v>
      </c>
      <c r="H40">
        <v>960</v>
      </c>
      <c r="I40" s="2">
        <f t="shared" si="3"/>
        <v>1920</v>
      </c>
      <c r="J40" s="2">
        <f t="shared" si="4"/>
        <v>15360</v>
      </c>
      <c r="K40" s="2">
        <f t="shared" si="5"/>
        <v>4.2666666666666666</v>
      </c>
      <c r="L40">
        <v>1200</v>
      </c>
      <c r="M40">
        <v>1200</v>
      </c>
      <c r="N40" s="2">
        <f t="shared" si="6"/>
        <v>2400</v>
      </c>
      <c r="O40" s="2">
        <f t="shared" si="7"/>
        <v>19200</v>
      </c>
      <c r="P40" s="2">
        <f t="shared" si="8"/>
        <v>5.333333333333333</v>
      </c>
      <c r="Q40">
        <v>1120</v>
      </c>
      <c r="R40">
        <v>1120</v>
      </c>
      <c r="S40" s="2">
        <f t="shared" si="9"/>
        <v>2240</v>
      </c>
      <c r="T40" s="2">
        <f t="shared" si="10"/>
        <v>17920</v>
      </c>
      <c r="U40" s="2">
        <f t="shared" si="11"/>
        <v>4.9777777777777779</v>
      </c>
      <c r="V40">
        <v>1040</v>
      </c>
      <c r="W40">
        <v>1040</v>
      </c>
      <c r="X40" s="2">
        <f t="shared" si="12"/>
        <v>2080</v>
      </c>
      <c r="Y40" s="2">
        <f t="shared" si="13"/>
        <v>16640</v>
      </c>
      <c r="Z40" s="2">
        <f t="shared" si="14"/>
        <v>4.6222222222222218</v>
      </c>
      <c r="AA40">
        <v>960</v>
      </c>
      <c r="AB40">
        <v>960</v>
      </c>
      <c r="AC40" s="2">
        <f t="shared" si="15"/>
        <v>1920</v>
      </c>
      <c r="AD40" s="2">
        <f t="shared" si="16"/>
        <v>15360</v>
      </c>
      <c r="AE40" s="2">
        <f t="shared" si="17"/>
        <v>4.2666666666666666</v>
      </c>
      <c r="AF40">
        <v>1200</v>
      </c>
      <c r="AG40">
        <v>1200</v>
      </c>
      <c r="AH40" s="2">
        <f t="shared" si="18"/>
        <v>2400</v>
      </c>
      <c r="AI40" s="2">
        <f t="shared" si="19"/>
        <v>19200</v>
      </c>
      <c r="AJ40" s="2">
        <f t="shared" si="20"/>
        <v>5.333333333333333</v>
      </c>
      <c r="AK40">
        <v>1040</v>
      </c>
      <c r="AL40">
        <v>1040</v>
      </c>
      <c r="AM40" s="2">
        <f t="shared" si="21"/>
        <v>2080</v>
      </c>
      <c r="AN40" s="2">
        <f t="shared" si="22"/>
        <v>16640</v>
      </c>
      <c r="AO40" s="2">
        <f t="shared" si="23"/>
        <v>4.6222222222222218</v>
      </c>
      <c r="AP40">
        <v>1200</v>
      </c>
      <c r="AQ40">
        <v>1200</v>
      </c>
      <c r="AR40" s="2">
        <f t="shared" si="24"/>
        <v>2400</v>
      </c>
      <c r="AS40" s="2">
        <f t="shared" si="25"/>
        <v>19200</v>
      </c>
      <c r="AT40" s="2">
        <f t="shared" si="26"/>
        <v>5.333333333333333</v>
      </c>
      <c r="AU40">
        <v>1120</v>
      </c>
      <c r="AV40">
        <v>1120</v>
      </c>
      <c r="AW40" s="2">
        <f t="shared" si="27"/>
        <v>2240</v>
      </c>
      <c r="AX40" s="2">
        <f t="shared" si="28"/>
        <v>17920</v>
      </c>
      <c r="AY40" s="2">
        <f t="shared" si="29"/>
        <v>4.9777777777777779</v>
      </c>
    </row>
    <row r="41" spans="1:51" x14ac:dyDescent="0.3">
      <c r="A41" s="2" t="s">
        <v>45</v>
      </c>
      <c r="B41">
        <v>960</v>
      </c>
      <c r="C41">
        <v>960</v>
      </c>
      <c r="D41" s="2">
        <f t="shared" si="0"/>
        <v>1920</v>
      </c>
      <c r="E41" s="2">
        <f t="shared" si="1"/>
        <v>15360</v>
      </c>
      <c r="F41" s="2">
        <f t="shared" si="2"/>
        <v>4.2666666666666666</v>
      </c>
      <c r="G41">
        <v>1120</v>
      </c>
      <c r="H41">
        <v>1120</v>
      </c>
      <c r="I41" s="2">
        <f t="shared" si="3"/>
        <v>2240</v>
      </c>
      <c r="J41" s="2">
        <f t="shared" si="4"/>
        <v>17920</v>
      </c>
      <c r="K41" s="2">
        <f t="shared" si="5"/>
        <v>4.9777777777777779</v>
      </c>
      <c r="L41">
        <v>1200</v>
      </c>
      <c r="M41">
        <v>1200</v>
      </c>
      <c r="N41" s="2">
        <f t="shared" si="6"/>
        <v>2400</v>
      </c>
      <c r="O41" s="2">
        <f t="shared" si="7"/>
        <v>19200</v>
      </c>
      <c r="P41" s="2">
        <f t="shared" si="8"/>
        <v>5.333333333333333</v>
      </c>
      <c r="Q41">
        <v>960</v>
      </c>
      <c r="R41">
        <v>960</v>
      </c>
      <c r="S41" s="2">
        <f t="shared" si="9"/>
        <v>1920</v>
      </c>
      <c r="T41" s="2">
        <f t="shared" si="10"/>
        <v>15360</v>
      </c>
      <c r="U41" s="2">
        <f t="shared" si="11"/>
        <v>4.2666666666666666</v>
      </c>
      <c r="V41">
        <v>1040</v>
      </c>
      <c r="W41">
        <v>1040</v>
      </c>
      <c r="X41" s="2">
        <f t="shared" si="12"/>
        <v>2080</v>
      </c>
      <c r="Y41" s="2">
        <f t="shared" si="13"/>
        <v>16640</v>
      </c>
      <c r="Z41" s="2">
        <f t="shared" si="14"/>
        <v>4.6222222222222218</v>
      </c>
      <c r="AA41">
        <v>960</v>
      </c>
      <c r="AB41">
        <v>960</v>
      </c>
      <c r="AC41" s="2">
        <f t="shared" si="15"/>
        <v>1920</v>
      </c>
      <c r="AD41" s="2">
        <f t="shared" si="16"/>
        <v>15360</v>
      </c>
      <c r="AE41" s="2">
        <f t="shared" si="17"/>
        <v>4.2666666666666666</v>
      </c>
      <c r="AF41">
        <v>1120</v>
      </c>
      <c r="AG41">
        <v>1120</v>
      </c>
      <c r="AH41" s="2">
        <f t="shared" si="18"/>
        <v>2240</v>
      </c>
      <c r="AI41" s="2">
        <f t="shared" si="19"/>
        <v>17920</v>
      </c>
      <c r="AJ41" s="2">
        <f t="shared" si="20"/>
        <v>4.9777777777777779</v>
      </c>
      <c r="AK41">
        <v>880</v>
      </c>
      <c r="AL41">
        <v>880</v>
      </c>
      <c r="AM41" s="2">
        <f t="shared" si="21"/>
        <v>1760</v>
      </c>
      <c r="AN41" s="2">
        <f t="shared" si="22"/>
        <v>14080</v>
      </c>
      <c r="AO41" s="2">
        <f t="shared" si="23"/>
        <v>3.911111111111111</v>
      </c>
      <c r="AP41">
        <v>960</v>
      </c>
      <c r="AQ41">
        <v>960</v>
      </c>
      <c r="AR41" s="2">
        <f t="shared" si="24"/>
        <v>1920</v>
      </c>
      <c r="AS41" s="2">
        <f t="shared" si="25"/>
        <v>15360</v>
      </c>
      <c r="AT41" s="2">
        <f t="shared" si="26"/>
        <v>4.2666666666666666</v>
      </c>
      <c r="AU41">
        <v>960</v>
      </c>
      <c r="AV41">
        <v>960</v>
      </c>
      <c r="AW41" s="2">
        <f t="shared" si="27"/>
        <v>1920</v>
      </c>
      <c r="AX41" s="2">
        <f t="shared" si="28"/>
        <v>15360</v>
      </c>
      <c r="AY41" s="2">
        <f t="shared" si="29"/>
        <v>4.2666666666666666</v>
      </c>
    </row>
    <row r="42" spans="1:51" x14ac:dyDescent="0.3">
      <c r="A42" s="2" t="s">
        <v>46</v>
      </c>
      <c r="B42">
        <v>1040</v>
      </c>
      <c r="C42">
        <v>1040</v>
      </c>
      <c r="D42" s="2">
        <f t="shared" si="0"/>
        <v>2080</v>
      </c>
      <c r="E42" s="2">
        <f t="shared" si="1"/>
        <v>16640</v>
      </c>
      <c r="F42" s="2">
        <f t="shared" si="2"/>
        <v>4.6222222222222218</v>
      </c>
      <c r="G42">
        <v>880</v>
      </c>
      <c r="H42">
        <v>880</v>
      </c>
      <c r="I42" s="2">
        <f t="shared" si="3"/>
        <v>1760</v>
      </c>
      <c r="J42" s="2">
        <f t="shared" si="4"/>
        <v>14080</v>
      </c>
      <c r="K42" s="2">
        <f t="shared" si="5"/>
        <v>3.911111111111111</v>
      </c>
      <c r="L42">
        <v>1040</v>
      </c>
      <c r="M42">
        <v>1040</v>
      </c>
      <c r="N42" s="2">
        <f t="shared" si="6"/>
        <v>2080</v>
      </c>
      <c r="O42" s="2">
        <f t="shared" si="7"/>
        <v>16640</v>
      </c>
      <c r="P42" s="2">
        <f t="shared" si="8"/>
        <v>4.6222222222222218</v>
      </c>
      <c r="Q42">
        <v>1200</v>
      </c>
      <c r="R42">
        <v>1200</v>
      </c>
      <c r="S42" s="2">
        <f t="shared" si="9"/>
        <v>2400</v>
      </c>
      <c r="T42" s="2">
        <f t="shared" si="10"/>
        <v>19200</v>
      </c>
      <c r="U42" s="2">
        <f t="shared" si="11"/>
        <v>5.333333333333333</v>
      </c>
      <c r="V42">
        <v>1120</v>
      </c>
      <c r="W42">
        <v>1120</v>
      </c>
      <c r="X42" s="2">
        <f t="shared" si="12"/>
        <v>2240</v>
      </c>
      <c r="Y42" s="2">
        <f t="shared" si="13"/>
        <v>17920</v>
      </c>
      <c r="Z42" s="2">
        <f t="shared" si="14"/>
        <v>4.9777777777777779</v>
      </c>
      <c r="AA42">
        <v>1120</v>
      </c>
      <c r="AB42">
        <v>1120</v>
      </c>
      <c r="AC42" s="2">
        <f t="shared" si="15"/>
        <v>2240</v>
      </c>
      <c r="AD42" s="2">
        <f t="shared" si="16"/>
        <v>17920</v>
      </c>
      <c r="AE42" s="2">
        <f t="shared" si="17"/>
        <v>4.9777777777777779</v>
      </c>
      <c r="AF42">
        <v>1280</v>
      </c>
      <c r="AG42">
        <v>1280</v>
      </c>
      <c r="AH42" s="2">
        <f t="shared" si="18"/>
        <v>2560</v>
      </c>
      <c r="AI42" s="2">
        <f t="shared" si="19"/>
        <v>20480</v>
      </c>
      <c r="AJ42" s="2">
        <f t="shared" si="20"/>
        <v>5.6888888888888891</v>
      </c>
      <c r="AK42">
        <v>1120</v>
      </c>
      <c r="AL42">
        <v>1120</v>
      </c>
      <c r="AM42" s="2">
        <f t="shared" si="21"/>
        <v>2240</v>
      </c>
      <c r="AN42" s="2">
        <f t="shared" si="22"/>
        <v>17920</v>
      </c>
      <c r="AO42" s="2">
        <f t="shared" si="23"/>
        <v>4.9777777777777779</v>
      </c>
      <c r="AP42">
        <v>1200</v>
      </c>
      <c r="AQ42">
        <v>1200</v>
      </c>
      <c r="AR42" s="2">
        <f t="shared" si="24"/>
        <v>2400</v>
      </c>
      <c r="AS42" s="2">
        <f t="shared" si="25"/>
        <v>19200</v>
      </c>
      <c r="AT42" s="2">
        <f t="shared" si="26"/>
        <v>5.333333333333333</v>
      </c>
      <c r="AU42">
        <v>1040</v>
      </c>
      <c r="AV42">
        <v>1040</v>
      </c>
      <c r="AW42" s="2">
        <f t="shared" si="27"/>
        <v>2080</v>
      </c>
      <c r="AX42" s="2">
        <f t="shared" si="28"/>
        <v>16640</v>
      </c>
      <c r="AY42" s="2">
        <f t="shared" si="29"/>
        <v>4.6222222222222218</v>
      </c>
    </row>
    <row r="43" spans="1:51" x14ac:dyDescent="0.3">
      <c r="A43" s="2" t="s">
        <v>47</v>
      </c>
      <c r="B43">
        <v>1280</v>
      </c>
      <c r="C43">
        <v>1280</v>
      </c>
      <c r="D43" s="2">
        <f t="shared" si="0"/>
        <v>2560</v>
      </c>
      <c r="E43" s="2">
        <f t="shared" si="1"/>
        <v>20480</v>
      </c>
      <c r="F43" s="2">
        <f t="shared" si="2"/>
        <v>5.6888888888888891</v>
      </c>
      <c r="G43">
        <v>1040</v>
      </c>
      <c r="H43">
        <v>1040</v>
      </c>
      <c r="I43" s="2">
        <f t="shared" si="3"/>
        <v>2080</v>
      </c>
      <c r="J43" s="2">
        <f t="shared" si="4"/>
        <v>16640</v>
      </c>
      <c r="K43" s="2">
        <f t="shared" si="5"/>
        <v>4.6222222222222218</v>
      </c>
      <c r="L43">
        <v>1120</v>
      </c>
      <c r="M43">
        <v>1120</v>
      </c>
      <c r="N43" s="2">
        <f t="shared" si="6"/>
        <v>2240</v>
      </c>
      <c r="O43" s="2">
        <f t="shared" si="7"/>
        <v>17920</v>
      </c>
      <c r="P43" s="2">
        <f t="shared" si="8"/>
        <v>4.9777777777777779</v>
      </c>
      <c r="Q43">
        <v>960</v>
      </c>
      <c r="R43">
        <v>960</v>
      </c>
      <c r="S43" s="2">
        <f t="shared" si="9"/>
        <v>1920</v>
      </c>
      <c r="T43" s="2">
        <f t="shared" si="10"/>
        <v>15360</v>
      </c>
      <c r="U43" s="2">
        <f t="shared" si="11"/>
        <v>4.2666666666666666</v>
      </c>
      <c r="V43">
        <v>960</v>
      </c>
      <c r="W43">
        <v>960</v>
      </c>
      <c r="X43" s="2">
        <f t="shared" si="12"/>
        <v>1920</v>
      </c>
      <c r="Y43" s="2">
        <f t="shared" si="13"/>
        <v>15360</v>
      </c>
      <c r="Z43" s="2">
        <f t="shared" si="14"/>
        <v>4.2666666666666666</v>
      </c>
      <c r="AA43">
        <v>1120</v>
      </c>
      <c r="AB43">
        <v>1120</v>
      </c>
      <c r="AC43" s="2">
        <f t="shared" si="15"/>
        <v>2240</v>
      </c>
      <c r="AD43" s="2">
        <f t="shared" si="16"/>
        <v>17920</v>
      </c>
      <c r="AE43" s="2">
        <f t="shared" si="17"/>
        <v>4.9777777777777779</v>
      </c>
      <c r="AF43">
        <v>1120</v>
      </c>
      <c r="AG43">
        <v>1120</v>
      </c>
      <c r="AH43" s="2">
        <f t="shared" si="18"/>
        <v>2240</v>
      </c>
      <c r="AI43" s="2">
        <f t="shared" si="19"/>
        <v>17920</v>
      </c>
      <c r="AJ43" s="2">
        <f t="shared" si="20"/>
        <v>4.9777777777777779</v>
      </c>
      <c r="AK43">
        <v>960</v>
      </c>
      <c r="AL43">
        <v>960</v>
      </c>
      <c r="AM43" s="2">
        <f t="shared" si="21"/>
        <v>1920</v>
      </c>
      <c r="AN43" s="2">
        <f t="shared" si="22"/>
        <v>15360</v>
      </c>
      <c r="AO43" s="2">
        <f t="shared" si="23"/>
        <v>4.2666666666666666</v>
      </c>
      <c r="AP43">
        <v>880</v>
      </c>
      <c r="AQ43">
        <v>880</v>
      </c>
      <c r="AR43" s="2">
        <f t="shared" si="24"/>
        <v>1760</v>
      </c>
      <c r="AS43" s="2">
        <f t="shared" si="25"/>
        <v>14080</v>
      </c>
      <c r="AT43" s="2">
        <f t="shared" si="26"/>
        <v>3.911111111111111</v>
      </c>
      <c r="AU43">
        <v>1120</v>
      </c>
      <c r="AV43">
        <v>1120</v>
      </c>
      <c r="AW43" s="2">
        <f t="shared" si="27"/>
        <v>2240</v>
      </c>
      <c r="AX43" s="2">
        <f t="shared" si="28"/>
        <v>17920</v>
      </c>
      <c r="AY43" s="2">
        <f t="shared" si="29"/>
        <v>4.9777777777777779</v>
      </c>
    </row>
    <row r="44" spans="1:51" x14ac:dyDescent="0.3">
      <c r="A44" s="2" t="s">
        <v>48</v>
      </c>
      <c r="B44">
        <v>1200</v>
      </c>
      <c r="C44">
        <v>1200</v>
      </c>
      <c r="D44" s="2">
        <f t="shared" si="0"/>
        <v>2400</v>
      </c>
      <c r="E44" s="2">
        <f t="shared" si="1"/>
        <v>19200</v>
      </c>
      <c r="F44" s="2">
        <f t="shared" si="2"/>
        <v>5.333333333333333</v>
      </c>
      <c r="G44">
        <v>1040</v>
      </c>
      <c r="H44">
        <v>1040</v>
      </c>
      <c r="I44" s="2">
        <f t="shared" si="3"/>
        <v>2080</v>
      </c>
      <c r="J44" s="2">
        <f t="shared" si="4"/>
        <v>16640</v>
      </c>
      <c r="K44" s="2">
        <f t="shared" si="5"/>
        <v>4.6222222222222218</v>
      </c>
      <c r="L44">
        <v>880</v>
      </c>
      <c r="M44">
        <v>880</v>
      </c>
      <c r="N44" s="2">
        <f t="shared" si="6"/>
        <v>1760</v>
      </c>
      <c r="O44" s="2">
        <f t="shared" si="7"/>
        <v>14080</v>
      </c>
      <c r="P44" s="2">
        <f t="shared" si="8"/>
        <v>3.911111111111111</v>
      </c>
      <c r="Q44">
        <v>1040</v>
      </c>
      <c r="R44">
        <v>1040</v>
      </c>
      <c r="S44" s="2">
        <f t="shared" si="9"/>
        <v>2080</v>
      </c>
      <c r="T44" s="2">
        <f t="shared" si="10"/>
        <v>16640</v>
      </c>
      <c r="U44" s="2">
        <f t="shared" si="11"/>
        <v>4.6222222222222218</v>
      </c>
      <c r="V44">
        <v>1120</v>
      </c>
      <c r="W44">
        <v>1120</v>
      </c>
      <c r="X44" s="2">
        <f t="shared" si="12"/>
        <v>2240</v>
      </c>
      <c r="Y44" s="2">
        <f t="shared" si="13"/>
        <v>17920</v>
      </c>
      <c r="Z44" s="2">
        <f t="shared" si="14"/>
        <v>4.9777777777777779</v>
      </c>
      <c r="AA44">
        <v>1200</v>
      </c>
      <c r="AB44">
        <v>1200</v>
      </c>
      <c r="AC44" s="2">
        <f t="shared" si="15"/>
        <v>2400</v>
      </c>
      <c r="AD44" s="2">
        <f t="shared" si="16"/>
        <v>19200</v>
      </c>
      <c r="AE44" s="2">
        <f t="shared" si="17"/>
        <v>5.333333333333333</v>
      </c>
      <c r="AF44">
        <v>960</v>
      </c>
      <c r="AG44">
        <v>960</v>
      </c>
      <c r="AH44" s="2">
        <f t="shared" si="18"/>
        <v>1920</v>
      </c>
      <c r="AI44" s="2">
        <f t="shared" si="19"/>
        <v>15360</v>
      </c>
      <c r="AJ44" s="2">
        <f t="shared" si="20"/>
        <v>4.2666666666666666</v>
      </c>
      <c r="AK44">
        <v>1280</v>
      </c>
      <c r="AL44">
        <v>1280</v>
      </c>
      <c r="AM44" s="2">
        <f t="shared" si="21"/>
        <v>2560</v>
      </c>
      <c r="AN44" s="2">
        <f t="shared" si="22"/>
        <v>20480</v>
      </c>
      <c r="AO44" s="2">
        <f t="shared" si="23"/>
        <v>5.6888888888888891</v>
      </c>
      <c r="AP44">
        <v>1200</v>
      </c>
      <c r="AQ44">
        <v>1200</v>
      </c>
      <c r="AR44" s="2">
        <f t="shared" si="24"/>
        <v>2400</v>
      </c>
      <c r="AS44" s="2">
        <f t="shared" si="25"/>
        <v>19200</v>
      </c>
      <c r="AT44" s="2">
        <f t="shared" si="26"/>
        <v>5.333333333333333</v>
      </c>
      <c r="AU44">
        <v>1040</v>
      </c>
      <c r="AV44">
        <v>1040</v>
      </c>
      <c r="AW44" s="2">
        <f t="shared" si="27"/>
        <v>2080</v>
      </c>
      <c r="AX44" s="2">
        <f t="shared" si="28"/>
        <v>16640</v>
      </c>
      <c r="AY44" s="2">
        <f t="shared" si="29"/>
        <v>4.6222222222222218</v>
      </c>
    </row>
    <row r="45" spans="1:51" x14ac:dyDescent="0.3">
      <c r="A45" s="2" t="s">
        <v>49</v>
      </c>
      <c r="B45">
        <v>960</v>
      </c>
      <c r="C45">
        <v>960</v>
      </c>
      <c r="D45" s="2">
        <f t="shared" si="0"/>
        <v>1920</v>
      </c>
      <c r="E45" s="2">
        <f t="shared" si="1"/>
        <v>15360</v>
      </c>
      <c r="F45" s="2">
        <f t="shared" si="2"/>
        <v>4.2666666666666666</v>
      </c>
      <c r="G45">
        <v>1040</v>
      </c>
      <c r="H45">
        <v>1040</v>
      </c>
      <c r="I45" s="2">
        <f t="shared" si="3"/>
        <v>2080</v>
      </c>
      <c r="J45" s="2">
        <f t="shared" si="4"/>
        <v>16640</v>
      </c>
      <c r="K45" s="2">
        <f t="shared" si="5"/>
        <v>4.6222222222222218</v>
      </c>
      <c r="L45">
        <v>1200</v>
      </c>
      <c r="M45">
        <v>1200</v>
      </c>
      <c r="N45" s="2">
        <f t="shared" si="6"/>
        <v>2400</v>
      </c>
      <c r="O45" s="2">
        <f t="shared" si="7"/>
        <v>19200</v>
      </c>
      <c r="P45" s="2">
        <f t="shared" si="8"/>
        <v>5.333333333333333</v>
      </c>
      <c r="Q45">
        <v>1040</v>
      </c>
      <c r="R45">
        <v>1040</v>
      </c>
      <c r="S45" s="2">
        <f t="shared" si="9"/>
        <v>2080</v>
      </c>
      <c r="T45" s="2">
        <f t="shared" si="10"/>
        <v>16640</v>
      </c>
      <c r="U45" s="2">
        <f t="shared" si="11"/>
        <v>4.6222222222222218</v>
      </c>
      <c r="V45">
        <v>1120</v>
      </c>
      <c r="W45">
        <v>1120</v>
      </c>
      <c r="X45" s="2">
        <f t="shared" si="12"/>
        <v>2240</v>
      </c>
      <c r="Y45" s="2">
        <f t="shared" si="13"/>
        <v>17920</v>
      </c>
      <c r="Z45" s="2">
        <f t="shared" si="14"/>
        <v>4.9777777777777779</v>
      </c>
      <c r="AA45">
        <v>1200</v>
      </c>
      <c r="AB45">
        <v>1200</v>
      </c>
      <c r="AC45" s="2">
        <f t="shared" si="15"/>
        <v>2400</v>
      </c>
      <c r="AD45" s="2">
        <f t="shared" si="16"/>
        <v>19200</v>
      </c>
      <c r="AE45" s="2">
        <f t="shared" si="17"/>
        <v>5.333333333333333</v>
      </c>
      <c r="AF45">
        <v>1040</v>
      </c>
      <c r="AG45">
        <v>1040</v>
      </c>
      <c r="AH45" s="2">
        <f t="shared" si="18"/>
        <v>2080</v>
      </c>
      <c r="AI45" s="2">
        <f t="shared" si="19"/>
        <v>16640</v>
      </c>
      <c r="AJ45" s="2">
        <f t="shared" si="20"/>
        <v>4.6222222222222218</v>
      </c>
      <c r="AK45">
        <v>960</v>
      </c>
      <c r="AL45">
        <v>960</v>
      </c>
      <c r="AM45" s="2">
        <f t="shared" si="21"/>
        <v>1920</v>
      </c>
      <c r="AN45" s="2">
        <f t="shared" si="22"/>
        <v>15360</v>
      </c>
      <c r="AO45" s="2">
        <f t="shared" si="23"/>
        <v>4.2666666666666666</v>
      </c>
      <c r="AP45">
        <v>960</v>
      </c>
      <c r="AQ45">
        <v>960</v>
      </c>
      <c r="AR45" s="2">
        <f t="shared" si="24"/>
        <v>1920</v>
      </c>
      <c r="AS45" s="2">
        <f t="shared" si="25"/>
        <v>15360</v>
      </c>
      <c r="AT45" s="2">
        <f t="shared" si="26"/>
        <v>4.2666666666666666</v>
      </c>
      <c r="AU45">
        <v>1040</v>
      </c>
      <c r="AV45">
        <v>1040</v>
      </c>
      <c r="AW45" s="2">
        <f t="shared" si="27"/>
        <v>2080</v>
      </c>
      <c r="AX45" s="2">
        <f t="shared" si="28"/>
        <v>16640</v>
      </c>
      <c r="AY45" s="2">
        <f t="shared" si="29"/>
        <v>4.6222222222222218</v>
      </c>
    </row>
    <row r="46" spans="1:51" x14ac:dyDescent="0.3">
      <c r="A46" s="2" t="s">
        <v>50</v>
      </c>
      <c r="B46">
        <v>1040</v>
      </c>
      <c r="C46">
        <v>1040</v>
      </c>
      <c r="D46" s="2">
        <f t="shared" si="0"/>
        <v>2080</v>
      </c>
      <c r="E46" s="2">
        <f t="shared" si="1"/>
        <v>16640</v>
      </c>
      <c r="F46" s="2">
        <f t="shared" si="2"/>
        <v>4.6222222222222218</v>
      </c>
      <c r="G46">
        <v>1040</v>
      </c>
      <c r="H46">
        <v>1040</v>
      </c>
      <c r="I46" s="2">
        <f t="shared" si="3"/>
        <v>2080</v>
      </c>
      <c r="J46" s="2">
        <f t="shared" si="4"/>
        <v>16640</v>
      </c>
      <c r="K46" s="2">
        <f t="shared" si="5"/>
        <v>4.6222222222222218</v>
      </c>
      <c r="L46">
        <v>1040</v>
      </c>
      <c r="M46">
        <v>1040</v>
      </c>
      <c r="N46" s="2">
        <f t="shared" si="6"/>
        <v>2080</v>
      </c>
      <c r="O46" s="2">
        <f t="shared" si="7"/>
        <v>16640</v>
      </c>
      <c r="P46" s="2">
        <f t="shared" si="8"/>
        <v>4.6222222222222218</v>
      </c>
      <c r="Q46">
        <v>1040</v>
      </c>
      <c r="R46">
        <v>1040</v>
      </c>
      <c r="S46" s="2">
        <f t="shared" si="9"/>
        <v>2080</v>
      </c>
      <c r="T46" s="2">
        <f t="shared" si="10"/>
        <v>16640</v>
      </c>
      <c r="U46" s="2">
        <f t="shared" si="11"/>
        <v>4.6222222222222218</v>
      </c>
      <c r="V46">
        <v>1040</v>
      </c>
      <c r="W46">
        <v>1040</v>
      </c>
      <c r="X46" s="2">
        <f t="shared" si="12"/>
        <v>2080</v>
      </c>
      <c r="Y46" s="2">
        <f t="shared" si="13"/>
        <v>16640</v>
      </c>
      <c r="Z46" s="2">
        <f t="shared" si="14"/>
        <v>4.6222222222222218</v>
      </c>
      <c r="AA46">
        <v>1120</v>
      </c>
      <c r="AB46">
        <v>1120</v>
      </c>
      <c r="AC46" s="2">
        <f t="shared" si="15"/>
        <v>2240</v>
      </c>
      <c r="AD46" s="2">
        <f t="shared" si="16"/>
        <v>17920</v>
      </c>
      <c r="AE46" s="2">
        <f t="shared" si="17"/>
        <v>4.9777777777777779</v>
      </c>
      <c r="AF46">
        <v>1200</v>
      </c>
      <c r="AG46">
        <v>1200</v>
      </c>
      <c r="AH46" s="2">
        <f t="shared" si="18"/>
        <v>2400</v>
      </c>
      <c r="AI46" s="2">
        <f t="shared" si="19"/>
        <v>19200</v>
      </c>
      <c r="AJ46" s="2">
        <f t="shared" si="20"/>
        <v>5.333333333333333</v>
      </c>
      <c r="AK46">
        <v>1200</v>
      </c>
      <c r="AL46">
        <v>1200</v>
      </c>
      <c r="AM46" s="2">
        <f t="shared" si="21"/>
        <v>2400</v>
      </c>
      <c r="AN46" s="2">
        <f t="shared" si="22"/>
        <v>19200</v>
      </c>
      <c r="AO46" s="2">
        <f t="shared" si="23"/>
        <v>5.333333333333333</v>
      </c>
      <c r="AP46">
        <v>1120</v>
      </c>
      <c r="AQ46">
        <v>1120</v>
      </c>
      <c r="AR46" s="2">
        <f t="shared" si="24"/>
        <v>2240</v>
      </c>
      <c r="AS46" s="2">
        <f t="shared" si="25"/>
        <v>17920</v>
      </c>
      <c r="AT46" s="2">
        <f t="shared" si="26"/>
        <v>4.9777777777777779</v>
      </c>
      <c r="AU46">
        <v>1120</v>
      </c>
      <c r="AV46">
        <v>1120</v>
      </c>
      <c r="AW46" s="2">
        <f t="shared" si="27"/>
        <v>2240</v>
      </c>
      <c r="AX46" s="2">
        <f t="shared" si="28"/>
        <v>17920</v>
      </c>
      <c r="AY46" s="2">
        <f t="shared" si="29"/>
        <v>4.9777777777777779</v>
      </c>
    </row>
    <row r="47" spans="1:51" x14ac:dyDescent="0.3">
      <c r="A47" s="2" t="s">
        <v>51</v>
      </c>
      <c r="B47">
        <v>1200</v>
      </c>
      <c r="C47">
        <v>1200</v>
      </c>
      <c r="D47" s="2">
        <f t="shared" si="0"/>
        <v>2400</v>
      </c>
      <c r="E47" s="2">
        <f t="shared" si="1"/>
        <v>19200</v>
      </c>
      <c r="F47" s="2">
        <f t="shared" si="2"/>
        <v>5.333333333333333</v>
      </c>
      <c r="G47">
        <v>1040</v>
      </c>
      <c r="H47">
        <v>1040</v>
      </c>
      <c r="I47" s="2">
        <f t="shared" si="3"/>
        <v>2080</v>
      </c>
      <c r="J47" s="2">
        <f t="shared" si="4"/>
        <v>16640</v>
      </c>
      <c r="K47" s="2">
        <f t="shared" si="5"/>
        <v>4.6222222222222218</v>
      </c>
      <c r="L47">
        <v>1200</v>
      </c>
      <c r="M47">
        <v>1200</v>
      </c>
      <c r="N47" s="2">
        <f t="shared" si="6"/>
        <v>2400</v>
      </c>
      <c r="O47" s="2">
        <f t="shared" si="7"/>
        <v>19200</v>
      </c>
      <c r="P47" s="2">
        <f t="shared" si="8"/>
        <v>5.333333333333333</v>
      </c>
      <c r="Q47">
        <v>1200</v>
      </c>
      <c r="R47">
        <v>1200</v>
      </c>
      <c r="S47" s="2">
        <f t="shared" si="9"/>
        <v>2400</v>
      </c>
      <c r="T47" s="2">
        <f t="shared" si="10"/>
        <v>19200</v>
      </c>
      <c r="U47" s="2">
        <f t="shared" si="11"/>
        <v>5.333333333333333</v>
      </c>
      <c r="V47">
        <v>1200</v>
      </c>
      <c r="W47">
        <v>1200</v>
      </c>
      <c r="X47" s="2">
        <f t="shared" si="12"/>
        <v>2400</v>
      </c>
      <c r="Y47" s="2">
        <f t="shared" si="13"/>
        <v>19200</v>
      </c>
      <c r="Z47" s="2">
        <f t="shared" si="14"/>
        <v>5.333333333333333</v>
      </c>
      <c r="AA47">
        <v>960</v>
      </c>
      <c r="AB47">
        <v>960</v>
      </c>
      <c r="AC47" s="2">
        <f t="shared" si="15"/>
        <v>1920</v>
      </c>
      <c r="AD47" s="2">
        <f t="shared" si="16"/>
        <v>15360</v>
      </c>
      <c r="AE47" s="2">
        <f t="shared" si="17"/>
        <v>4.2666666666666666</v>
      </c>
      <c r="AF47">
        <v>1040</v>
      </c>
      <c r="AG47">
        <v>1040</v>
      </c>
      <c r="AH47" s="2">
        <f t="shared" si="18"/>
        <v>2080</v>
      </c>
      <c r="AI47" s="2">
        <f t="shared" si="19"/>
        <v>16640</v>
      </c>
      <c r="AJ47" s="2">
        <f t="shared" si="20"/>
        <v>4.6222222222222218</v>
      </c>
      <c r="AK47">
        <v>960</v>
      </c>
      <c r="AL47">
        <v>960</v>
      </c>
      <c r="AM47" s="2">
        <f t="shared" si="21"/>
        <v>1920</v>
      </c>
      <c r="AN47" s="2">
        <f t="shared" si="22"/>
        <v>15360</v>
      </c>
      <c r="AO47" s="2">
        <f t="shared" si="23"/>
        <v>4.2666666666666666</v>
      </c>
      <c r="AP47">
        <v>1120</v>
      </c>
      <c r="AQ47">
        <v>1120</v>
      </c>
      <c r="AR47" s="2">
        <f t="shared" si="24"/>
        <v>2240</v>
      </c>
      <c r="AS47" s="2">
        <f t="shared" si="25"/>
        <v>17920</v>
      </c>
      <c r="AT47" s="2">
        <f t="shared" si="26"/>
        <v>4.9777777777777779</v>
      </c>
      <c r="AU47">
        <v>1120</v>
      </c>
      <c r="AV47">
        <v>1120</v>
      </c>
      <c r="AW47" s="2">
        <f t="shared" si="27"/>
        <v>2240</v>
      </c>
      <c r="AX47" s="2">
        <f t="shared" si="28"/>
        <v>17920</v>
      </c>
      <c r="AY47" s="2">
        <f t="shared" si="29"/>
        <v>4.9777777777777779</v>
      </c>
    </row>
    <row r="48" spans="1:51" x14ac:dyDescent="0.3">
      <c r="A48" s="2" t="s">
        <v>52</v>
      </c>
      <c r="B48">
        <v>720</v>
      </c>
      <c r="C48">
        <v>720</v>
      </c>
      <c r="D48" s="2">
        <f t="shared" si="0"/>
        <v>1440</v>
      </c>
      <c r="E48" s="2">
        <f t="shared" si="1"/>
        <v>11520</v>
      </c>
      <c r="F48" s="2">
        <f t="shared" si="2"/>
        <v>3.2</v>
      </c>
      <c r="G48">
        <v>960</v>
      </c>
      <c r="H48">
        <v>960</v>
      </c>
      <c r="I48" s="2">
        <f t="shared" si="3"/>
        <v>1920</v>
      </c>
      <c r="J48" s="2">
        <f t="shared" si="4"/>
        <v>15360</v>
      </c>
      <c r="K48" s="2">
        <f t="shared" si="5"/>
        <v>4.2666666666666666</v>
      </c>
      <c r="L48">
        <v>880</v>
      </c>
      <c r="M48">
        <v>880</v>
      </c>
      <c r="N48" s="2">
        <f t="shared" si="6"/>
        <v>1760</v>
      </c>
      <c r="O48" s="2">
        <f t="shared" si="7"/>
        <v>14080</v>
      </c>
      <c r="P48" s="2">
        <f t="shared" si="8"/>
        <v>3.911111111111111</v>
      </c>
      <c r="Q48">
        <v>880</v>
      </c>
      <c r="R48">
        <v>880</v>
      </c>
      <c r="S48" s="2">
        <f t="shared" si="9"/>
        <v>1760</v>
      </c>
      <c r="T48" s="2">
        <f t="shared" si="10"/>
        <v>14080</v>
      </c>
      <c r="U48" s="2">
        <f t="shared" si="11"/>
        <v>3.911111111111111</v>
      </c>
      <c r="V48">
        <v>960</v>
      </c>
      <c r="W48">
        <v>960</v>
      </c>
      <c r="X48" s="2">
        <f t="shared" si="12"/>
        <v>1920</v>
      </c>
      <c r="Y48" s="2">
        <f t="shared" si="13"/>
        <v>15360</v>
      </c>
      <c r="Z48" s="2">
        <f t="shared" si="14"/>
        <v>4.2666666666666666</v>
      </c>
      <c r="AA48">
        <v>1040</v>
      </c>
      <c r="AB48">
        <v>1040</v>
      </c>
      <c r="AC48" s="2">
        <f t="shared" si="15"/>
        <v>2080</v>
      </c>
      <c r="AD48" s="2">
        <f t="shared" si="16"/>
        <v>16640</v>
      </c>
      <c r="AE48" s="2">
        <f t="shared" si="17"/>
        <v>4.6222222222222218</v>
      </c>
      <c r="AF48">
        <v>1040</v>
      </c>
      <c r="AG48">
        <v>1040</v>
      </c>
      <c r="AH48" s="2">
        <f t="shared" si="18"/>
        <v>2080</v>
      </c>
      <c r="AI48" s="2">
        <f t="shared" si="19"/>
        <v>16640</v>
      </c>
      <c r="AJ48" s="2">
        <f t="shared" si="20"/>
        <v>4.6222222222222218</v>
      </c>
      <c r="AK48">
        <v>1120</v>
      </c>
      <c r="AL48">
        <v>1120</v>
      </c>
      <c r="AM48" s="2">
        <f t="shared" si="21"/>
        <v>2240</v>
      </c>
      <c r="AN48" s="2">
        <f t="shared" si="22"/>
        <v>17920</v>
      </c>
      <c r="AO48" s="2">
        <f t="shared" si="23"/>
        <v>4.9777777777777779</v>
      </c>
      <c r="AP48">
        <v>960</v>
      </c>
      <c r="AQ48">
        <v>960</v>
      </c>
      <c r="AR48" s="2">
        <f t="shared" si="24"/>
        <v>1920</v>
      </c>
      <c r="AS48" s="2">
        <f t="shared" si="25"/>
        <v>15360</v>
      </c>
      <c r="AT48" s="2">
        <f t="shared" si="26"/>
        <v>4.2666666666666666</v>
      </c>
      <c r="AU48">
        <v>960</v>
      </c>
      <c r="AV48">
        <v>960</v>
      </c>
      <c r="AW48" s="2">
        <f t="shared" si="27"/>
        <v>1920</v>
      </c>
      <c r="AX48" s="2">
        <f t="shared" si="28"/>
        <v>15360</v>
      </c>
      <c r="AY48" s="2">
        <f t="shared" si="29"/>
        <v>4.2666666666666666</v>
      </c>
    </row>
    <row r="49" spans="1:51" x14ac:dyDescent="0.3">
      <c r="A49" s="2" t="s">
        <v>53</v>
      </c>
      <c r="B49">
        <v>1040</v>
      </c>
      <c r="C49">
        <v>1040</v>
      </c>
      <c r="D49" s="2">
        <f t="shared" si="0"/>
        <v>2080</v>
      </c>
      <c r="E49" s="2">
        <f t="shared" si="1"/>
        <v>16640</v>
      </c>
      <c r="F49" s="2">
        <f t="shared" si="2"/>
        <v>4.6222222222222218</v>
      </c>
      <c r="G49">
        <v>1040</v>
      </c>
      <c r="H49">
        <v>1040</v>
      </c>
      <c r="I49" s="2">
        <f t="shared" si="3"/>
        <v>2080</v>
      </c>
      <c r="J49" s="2">
        <f t="shared" si="4"/>
        <v>16640</v>
      </c>
      <c r="K49" s="2">
        <f t="shared" si="5"/>
        <v>4.6222222222222218</v>
      </c>
      <c r="L49">
        <v>1120</v>
      </c>
      <c r="M49">
        <v>1120</v>
      </c>
      <c r="N49" s="2">
        <f t="shared" si="6"/>
        <v>2240</v>
      </c>
      <c r="O49" s="2">
        <f t="shared" si="7"/>
        <v>17920</v>
      </c>
      <c r="P49" s="2">
        <f t="shared" si="8"/>
        <v>4.9777777777777779</v>
      </c>
      <c r="Q49">
        <v>1200</v>
      </c>
      <c r="R49">
        <v>1200</v>
      </c>
      <c r="S49" s="2">
        <f t="shared" si="9"/>
        <v>2400</v>
      </c>
      <c r="T49" s="2">
        <f t="shared" si="10"/>
        <v>19200</v>
      </c>
      <c r="U49" s="2">
        <f t="shared" si="11"/>
        <v>5.333333333333333</v>
      </c>
      <c r="V49">
        <v>1200</v>
      </c>
      <c r="W49">
        <v>1200</v>
      </c>
      <c r="X49" s="2">
        <f t="shared" si="12"/>
        <v>2400</v>
      </c>
      <c r="Y49" s="2">
        <f t="shared" si="13"/>
        <v>19200</v>
      </c>
      <c r="Z49" s="2">
        <f t="shared" si="14"/>
        <v>5.333333333333333</v>
      </c>
      <c r="AA49">
        <v>1120</v>
      </c>
      <c r="AB49">
        <v>1120</v>
      </c>
      <c r="AC49" s="2">
        <f t="shared" si="15"/>
        <v>2240</v>
      </c>
      <c r="AD49" s="2">
        <f t="shared" si="16"/>
        <v>17920</v>
      </c>
      <c r="AE49" s="2">
        <f t="shared" si="17"/>
        <v>4.9777777777777779</v>
      </c>
      <c r="AF49">
        <v>1200</v>
      </c>
      <c r="AG49">
        <v>1200</v>
      </c>
      <c r="AH49" s="2">
        <f t="shared" si="18"/>
        <v>2400</v>
      </c>
      <c r="AI49" s="2">
        <f t="shared" si="19"/>
        <v>19200</v>
      </c>
      <c r="AJ49" s="2">
        <f t="shared" si="20"/>
        <v>5.333333333333333</v>
      </c>
      <c r="AK49">
        <v>1200</v>
      </c>
      <c r="AL49">
        <v>1200</v>
      </c>
      <c r="AM49" s="2">
        <f t="shared" si="21"/>
        <v>2400</v>
      </c>
      <c r="AN49" s="2">
        <f t="shared" si="22"/>
        <v>19200</v>
      </c>
      <c r="AO49" s="2">
        <f t="shared" si="23"/>
        <v>5.333333333333333</v>
      </c>
      <c r="AP49">
        <v>1280</v>
      </c>
      <c r="AQ49">
        <v>1280</v>
      </c>
      <c r="AR49" s="2">
        <f t="shared" si="24"/>
        <v>2560</v>
      </c>
      <c r="AS49" s="2">
        <f t="shared" si="25"/>
        <v>20480</v>
      </c>
      <c r="AT49" s="2">
        <f t="shared" si="26"/>
        <v>5.6888888888888891</v>
      </c>
      <c r="AU49">
        <v>1040</v>
      </c>
      <c r="AV49">
        <v>1040</v>
      </c>
      <c r="AW49" s="2">
        <f t="shared" si="27"/>
        <v>2080</v>
      </c>
      <c r="AX49" s="2">
        <f t="shared" si="28"/>
        <v>16640</v>
      </c>
      <c r="AY49" s="2">
        <f t="shared" si="29"/>
        <v>4.6222222222222218</v>
      </c>
    </row>
    <row r="50" spans="1:51" x14ac:dyDescent="0.3">
      <c r="A50" s="2" t="s">
        <v>54</v>
      </c>
      <c r="B50">
        <v>1120</v>
      </c>
      <c r="C50">
        <v>1120</v>
      </c>
      <c r="D50" s="2">
        <f t="shared" si="0"/>
        <v>2240</v>
      </c>
      <c r="E50" s="2">
        <f t="shared" si="1"/>
        <v>17920</v>
      </c>
      <c r="F50" s="2">
        <f t="shared" si="2"/>
        <v>4.9777777777777779</v>
      </c>
      <c r="G50">
        <v>1040</v>
      </c>
      <c r="H50">
        <v>1040</v>
      </c>
      <c r="I50" s="2">
        <f t="shared" si="3"/>
        <v>2080</v>
      </c>
      <c r="J50" s="2">
        <f t="shared" si="4"/>
        <v>16640</v>
      </c>
      <c r="K50" s="2">
        <f t="shared" si="5"/>
        <v>4.6222222222222218</v>
      </c>
      <c r="L50">
        <v>1280</v>
      </c>
      <c r="M50">
        <v>1280</v>
      </c>
      <c r="N50" s="2">
        <f t="shared" si="6"/>
        <v>2560</v>
      </c>
      <c r="O50" s="2">
        <f t="shared" si="7"/>
        <v>20480</v>
      </c>
      <c r="P50" s="2">
        <f t="shared" si="8"/>
        <v>5.6888888888888891</v>
      </c>
      <c r="Q50">
        <v>1120</v>
      </c>
      <c r="R50">
        <v>1120</v>
      </c>
      <c r="S50" s="2">
        <f t="shared" si="9"/>
        <v>2240</v>
      </c>
      <c r="T50" s="2">
        <f t="shared" si="10"/>
        <v>17920</v>
      </c>
      <c r="U50" s="2">
        <f t="shared" si="11"/>
        <v>4.9777777777777779</v>
      </c>
      <c r="V50">
        <v>1200</v>
      </c>
      <c r="W50">
        <v>1200</v>
      </c>
      <c r="X50" s="2">
        <f t="shared" si="12"/>
        <v>2400</v>
      </c>
      <c r="Y50" s="2">
        <f t="shared" si="13"/>
        <v>19200</v>
      </c>
      <c r="Z50" s="2">
        <f t="shared" si="14"/>
        <v>5.333333333333333</v>
      </c>
      <c r="AA50">
        <v>1200</v>
      </c>
      <c r="AB50">
        <v>1200</v>
      </c>
      <c r="AC50" s="2">
        <f t="shared" si="15"/>
        <v>2400</v>
      </c>
      <c r="AD50" s="2">
        <f t="shared" si="16"/>
        <v>19200</v>
      </c>
      <c r="AE50" s="2">
        <f t="shared" si="17"/>
        <v>5.333333333333333</v>
      </c>
      <c r="AF50">
        <v>960</v>
      </c>
      <c r="AG50">
        <v>960</v>
      </c>
      <c r="AH50" s="2">
        <f t="shared" si="18"/>
        <v>1920</v>
      </c>
      <c r="AI50" s="2">
        <f t="shared" si="19"/>
        <v>15360</v>
      </c>
      <c r="AJ50" s="2">
        <f t="shared" si="20"/>
        <v>4.2666666666666666</v>
      </c>
      <c r="AK50">
        <v>1040</v>
      </c>
      <c r="AL50">
        <v>1040</v>
      </c>
      <c r="AM50" s="2">
        <f t="shared" si="21"/>
        <v>2080</v>
      </c>
      <c r="AN50" s="2">
        <f t="shared" si="22"/>
        <v>16640</v>
      </c>
      <c r="AO50" s="2">
        <f t="shared" si="23"/>
        <v>4.6222222222222218</v>
      </c>
      <c r="AP50">
        <v>1200</v>
      </c>
      <c r="AQ50">
        <v>1200</v>
      </c>
      <c r="AR50" s="2">
        <f t="shared" si="24"/>
        <v>2400</v>
      </c>
      <c r="AS50" s="2">
        <f t="shared" si="25"/>
        <v>19200</v>
      </c>
      <c r="AT50" s="2">
        <f t="shared" si="26"/>
        <v>5.333333333333333</v>
      </c>
      <c r="AU50">
        <v>1040</v>
      </c>
      <c r="AV50">
        <v>1040</v>
      </c>
      <c r="AW50" s="2">
        <f t="shared" si="27"/>
        <v>2080</v>
      </c>
      <c r="AX50" s="2">
        <f t="shared" si="28"/>
        <v>16640</v>
      </c>
      <c r="AY50" s="2">
        <f t="shared" si="29"/>
        <v>4.6222222222222218</v>
      </c>
    </row>
    <row r="51" spans="1:51" x14ac:dyDescent="0.3">
      <c r="A51" s="2" t="s">
        <v>55</v>
      </c>
      <c r="B51">
        <v>960</v>
      </c>
      <c r="C51">
        <v>960</v>
      </c>
      <c r="D51" s="2">
        <f t="shared" si="0"/>
        <v>1920</v>
      </c>
      <c r="E51" s="2">
        <f t="shared" si="1"/>
        <v>15360</v>
      </c>
      <c r="F51" s="2">
        <f t="shared" si="2"/>
        <v>4.2666666666666666</v>
      </c>
      <c r="G51">
        <v>960</v>
      </c>
      <c r="H51">
        <v>960</v>
      </c>
      <c r="I51" s="2">
        <f t="shared" si="3"/>
        <v>1920</v>
      </c>
      <c r="J51" s="2">
        <f t="shared" si="4"/>
        <v>15360</v>
      </c>
      <c r="K51" s="2">
        <f t="shared" si="5"/>
        <v>4.2666666666666666</v>
      </c>
      <c r="L51">
        <v>1040</v>
      </c>
      <c r="M51">
        <v>1040</v>
      </c>
      <c r="N51" s="2">
        <f t="shared" si="6"/>
        <v>2080</v>
      </c>
      <c r="O51" s="2">
        <f t="shared" si="7"/>
        <v>16640</v>
      </c>
      <c r="P51" s="2">
        <f t="shared" si="8"/>
        <v>4.6222222222222218</v>
      </c>
      <c r="Q51">
        <v>1280</v>
      </c>
      <c r="R51">
        <v>1280</v>
      </c>
      <c r="S51" s="2">
        <f t="shared" si="9"/>
        <v>2560</v>
      </c>
      <c r="T51" s="2">
        <f t="shared" si="10"/>
        <v>20480</v>
      </c>
      <c r="U51" s="2">
        <f t="shared" si="11"/>
        <v>5.6888888888888891</v>
      </c>
      <c r="V51">
        <v>960</v>
      </c>
      <c r="W51">
        <v>960</v>
      </c>
      <c r="X51" s="2">
        <f t="shared" si="12"/>
        <v>1920</v>
      </c>
      <c r="Y51" s="2">
        <f t="shared" si="13"/>
        <v>15360</v>
      </c>
      <c r="Z51" s="2">
        <f t="shared" si="14"/>
        <v>4.2666666666666666</v>
      </c>
      <c r="AA51">
        <v>1200</v>
      </c>
      <c r="AB51">
        <v>1200</v>
      </c>
      <c r="AC51" s="2">
        <f t="shared" si="15"/>
        <v>2400</v>
      </c>
      <c r="AD51" s="2">
        <f t="shared" si="16"/>
        <v>19200</v>
      </c>
      <c r="AE51" s="2">
        <f t="shared" si="17"/>
        <v>5.333333333333333</v>
      </c>
      <c r="AF51">
        <v>1200</v>
      </c>
      <c r="AG51">
        <v>1200</v>
      </c>
      <c r="AH51" s="2">
        <f t="shared" si="18"/>
        <v>2400</v>
      </c>
      <c r="AI51" s="2">
        <f t="shared" si="19"/>
        <v>19200</v>
      </c>
      <c r="AJ51" s="2">
        <f t="shared" si="20"/>
        <v>5.333333333333333</v>
      </c>
      <c r="AK51">
        <v>1040</v>
      </c>
      <c r="AL51">
        <v>1040</v>
      </c>
      <c r="AM51" s="2">
        <f t="shared" si="21"/>
        <v>2080</v>
      </c>
      <c r="AN51" s="2">
        <f t="shared" si="22"/>
        <v>16640</v>
      </c>
      <c r="AO51" s="2">
        <f t="shared" si="23"/>
        <v>4.6222222222222218</v>
      </c>
      <c r="AP51">
        <v>1120</v>
      </c>
      <c r="AQ51">
        <v>1120</v>
      </c>
      <c r="AR51" s="2">
        <f t="shared" si="24"/>
        <v>2240</v>
      </c>
      <c r="AS51" s="2">
        <f t="shared" si="25"/>
        <v>17920</v>
      </c>
      <c r="AT51" s="2">
        <f t="shared" si="26"/>
        <v>4.9777777777777779</v>
      </c>
      <c r="AU51">
        <v>1040</v>
      </c>
      <c r="AV51">
        <v>1040</v>
      </c>
      <c r="AW51" s="2">
        <f t="shared" si="27"/>
        <v>2080</v>
      </c>
      <c r="AX51" s="2">
        <f t="shared" si="28"/>
        <v>16640</v>
      </c>
      <c r="AY51" s="2">
        <f t="shared" si="29"/>
        <v>4.6222222222222218</v>
      </c>
    </row>
    <row r="52" spans="1:51" x14ac:dyDescent="0.3">
      <c r="A52" s="2" t="s">
        <v>56</v>
      </c>
      <c r="B52">
        <v>1040</v>
      </c>
      <c r="C52">
        <v>1040</v>
      </c>
      <c r="D52" s="2">
        <f t="shared" si="0"/>
        <v>2080</v>
      </c>
      <c r="E52" s="2">
        <f t="shared" si="1"/>
        <v>16640</v>
      </c>
      <c r="F52" s="2">
        <f t="shared" si="2"/>
        <v>4.6222222222222218</v>
      </c>
      <c r="G52">
        <v>1120</v>
      </c>
      <c r="H52">
        <v>1120</v>
      </c>
      <c r="I52" s="2">
        <f t="shared" si="3"/>
        <v>2240</v>
      </c>
      <c r="J52" s="2">
        <f t="shared" si="4"/>
        <v>17920</v>
      </c>
      <c r="K52" s="2">
        <f t="shared" si="5"/>
        <v>4.9777777777777779</v>
      </c>
      <c r="L52">
        <v>880</v>
      </c>
      <c r="M52">
        <v>880</v>
      </c>
      <c r="N52" s="2">
        <f t="shared" si="6"/>
        <v>1760</v>
      </c>
      <c r="O52" s="2">
        <f t="shared" si="7"/>
        <v>14080</v>
      </c>
      <c r="P52" s="2">
        <f t="shared" si="8"/>
        <v>3.911111111111111</v>
      </c>
      <c r="Q52">
        <v>960</v>
      </c>
      <c r="R52">
        <v>960</v>
      </c>
      <c r="S52" s="2">
        <f t="shared" si="9"/>
        <v>1920</v>
      </c>
      <c r="T52" s="2">
        <f t="shared" si="10"/>
        <v>15360</v>
      </c>
      <c r="U52" s="2">
        <f t="shared" si="11"/>
        <v>4.2666666666666666</v>
      </c>
      <c r="V52">
        <v>1040</v>
      </c>
      <c r="W52">
        <v>1040</v>
      </c>
      <c r="X52" s="2">
        <f t="shared" si="12"/>
        <v>2080</v>
      </c>
      <c r="Y52" s="2">
        <f t="shared" si="13"/>
        <v>16640</v>
      </c>
      <c r="Z52" s="2">
        <f t="shared" si="14"/>
        <v>4.6222222222222218</v>
      </c>
      <c r="AA52">
        <v>1040</v>
      </c>
      <c r="AB52">
        <v>1040</v>
      </c>
      <c r="AC52" s="2">
        <f t="shared" si="15"/>
        <v>2080</v>
      </c>
      <c r="AD52" s="2">
        <f t="shared" si="16"/>
        <v>16640</v>
      </c>
      <c r="AE52" s="2">
        <f t="shared" si="17"/>
        <v>4.6222222222222218</v>
      </c>
      <c r="AF52">
        <v>1200</v>
      </c>
      <c r="AG52">
        <v>1200</v>
      </c>
      <c r="AH52" s="2">
        <f t="shared" si="18"/>
        <v>2400</v>
      </c>
      <c r="AI52" s="2">
        <f t="shared" si="19"/>
        <v>19200</v>
      </c>
      <c r="AJ52" s="2">
        <f t="shared" si="20"/>
        <v>5.333333333333333</v>
      </c>
      <c r="AK52">
        <v>960</v>
      </c>
      <c r="AL52">
        <v>960</v>
      </c>
      <c r="AM52" s="2">
        <f t="shared" si="21"/>
        <v>1920</v>
      </c>
      <c r="AN52" s="2">
        <f t="shared" si="22"/>
        <v>15360</v>
      </c>
      <c r="AO52" s="2">
        <f t="shared" si="23"/>
        <v>4.2666666666666666</v>
      </c>
      <c r="AP52">
        <v>1280</v>
      </c>
      <c r="AQ52">
        <v>1280</v>
      </c>
      <c r="AR52" s="2">
        <f t="shared" si="24"/>
        <v>2560</v>
      </c>
      <c r="AS52" s="2">
        <f t="shared" si="25"/>
        <v>20480</v>
      </c>
      <c r="AT52" s="2">
        <f t="shared" si="26"/>
        <v>5.6888888888888891</v>
      </c>
      <c r="AU52">
        <v>1040</v>
      </c>
      <c r="AV52">
        <v>1040</v>
      </c>
      <c r="AW52" s="2">
        <f t="shared" si="27"/>
        <v>2080</v>
      </c>
      <c r="AX52" s="2">
        <f t="shared" si="28"/>
        <v>16640</v>
      </c>
      <c r="AY52" s="2">
        <f t="shared" si="29"/>
        <v>4.6222222222222218</v>
      </c>
    </row>
    <row r="53" spans="1:51" x14ac:dyDescent="0.3">
      <c r="A53" s="2" t="s">
        <v>57</v>
      </c>
      <c r="B53">
        <v>960</v>
      </c>
      <c r="C53">
        <v>960</v>
      </c>
      <c r="D53" s="2">
        <f t="shared" si="0"/>
        <v>1920</v>
      </c>
      <c r="E53" s="2">
        <f t="shared" si="1"/>
        <v>15360</v>
      </c>
      <c r="F53" s="2">
        <f t="shared" si="2"/>
        <v>4.2666666666666666</v>
      </c>
      <c r="G53">
        <v>1280</v>
      </c>
      <c r="H53">
        <v>1280</v>
      </c>
      <c r="I53" s="2">
        <f t="shared" si="3"/>
        <v>2560</v>
      </c>
      <c r="J53" s="2">
        <f t="shared" si="4"/>
        <v>20480</v>
      </c>
      <c r="K53" s="2">
        <f t="shared" si="5"/>
        <v>5.6888888888888891</v>
      </c>
      <c r="L53">
        <v>1040</v>
      </c>
      <c r="M53">
        <v>1040</v>
      </c>
      <c r="N53" s="2">
        <f t="shared" si="6"/>
        <v>2080</v>
      </c>
      <c r="O53" s="2">
        <f t="shared" si="7"/>
        <v>16640</v>
      </c>
      <c r="P53" s="2">
        <f t="shared" si="8"/>
        <v>4.6222222222222218</v>
      </c>
      <c r="Q53">
        <v>1200</v>
      </c>
      <c r="R53">
        <v>1200</v>
      </c>
      <c r="S53" s="2">
        <f t="shared" si="9"/>
        <v>2400</v>
      </c>
      <c r="T53" s="2">
        <f t="shared" si="10"/>
        <v>19200</v>
      </c>
      <c r="U53" s="2">
        <f t="shared" si="11"/>
        <v>5.333333333333333</v>
      </c>
      <c r="V53">
        <v>1280</v>
      </c>
      <c r="W53">
        <v>1280</v>
      </c>
      <c r="X53" s="2">
        <f t="shared" si="12"/>
        <v>2560</v>
      </c>
      <c r="Y53" s="2">
        <f t="shared" si="13"/>
        <v>20480</v>
      </c>
      <c r="Z53" s="2">
        <f t="shared" si="14"/>
        <v>5.6888888888888891</v>
      </c>
      <c r="AA53">
        <v>1040</v>
      </c>
      <c r="AB53">
        <v>1040</v>
      </c>
      <c r="AC53" s="2">
        <f t="shared" si="15"/>
        <v>2080</v>
      </c>
      <c r="AD53" s="2">
        <f t="shared" si="16"/>
        <v>16640</v>
      </c>
      <c r="AE53" s="2">
        <f t="shared" si="17"/>
        <v>4.6222222222222218</v>
      </c>
      <c r="AF53">
        <v>1200</v>
      </c>
      <c r="AG53">
        <v>1200</v>
      </c>
      <c r="AH53" s="2">
        <f t="shared" si="18"/>
        <v>2400</v>
      </c>
      <c r="AI53" s="2">
        <f t="shared" si="19"/>
        <v>19200</v>
      </c>
      <c r="AJ53" s="2">
        <f t="shared" si="20"/>
        <v>5.333333333333333</v>
      </c>
      <c r="AK53">
        <v>1120</v>
      </c>
      <c r="AL53">
        <v>1120</v>
      </c>
      <c r="AM53" s="2">
        <f t="shared" si="21"/>
        <v>2240</v>
      </c>
      <c r="AN53" s="2">
        <f t="shared" si="22"/>
        <v>17920</v>
      </c>
      <c r="AO53" s="2">
        <f t="shared" si="23"/>
        <v>4.9777777777777779</v>
      </c>
      <c r="AP53">
        <v>1120</v>
      </c>
      <c r="AQ53">
        <v>1120</v>
      </c>
      <c r="AR53" s="2">
        <f t="shared" si="24"/>
        <v>2240</v>
      </c>
      <c r="AS53" s="2">
        <f t="shared" si="25"/>
        <v>17920</v>
      </c>
      <c r="AT53" s="2">
        <f t="shared" si="26"/>
        <v>4.9777777777777779</v>
      </c>
      <c r="AU53">
        <v>1040</v>
      </c>
      <c r="AV53">
        <v>1040</v>
      </c>
      <c r="AW53" s="2">
        <f t="shared" si="27"/>
        <v>2080</v>
      </c>
      <c r="AX53" s="2">
        <f t="shared" si="28"/>
        <v>16640</v>
      </c>
      <c r="AY53" s="2">
        <f t="shared" si="29"/>
        <v>4.6222222222222218</v>
      </c>
    </row>
    <row r="54" spans="1:51" x14ac:dyDescent="0.3">
      <c r="A54" s="2" t="s">
        <v>58</v>
      </c>
      <c r="B54">
        <v>880</v>
      </c>
      <c r="C54">
        <v>880</v>
      </c>
      <c r="D54" s="2">
        <f t="shared" si="0"/>
        <v>1760</v>
      </c>
      <c r="E54" s="2">
        <f t="shared" si="1"/>
        <v>14080</v>
      </c>
      <c r="F54" s="2">
        <f t="shared" si="2"/>
        <v>3.911111111111111</v>
      </c>
      <c r="G54">
        <v>1120</v>
      </c>
      <c r="H54">
        <v>1120</v>
      </c>
      <c r="I54" s="2">
        <f t="shared" si="3"/>
        <v>2240</v>
      </c>
      <c r="J54" s="2">
        <f t="shared" si="4"/>
        <v>17920</v>
      </c>
      <c r="K54" s="2">
        <f t="shared" si="5"/>
        <v>4.9777777777777779</v>
      </c>
      <c r="L54">
        <v>1040</v>
      </c>
      <c r="M54">
        <v>1040</v>
      </c>
      <c r="N54" s="2">
        <f t="shared" si="6"/>
        <v>2080</v>
      </c>
      <c r="O54" s="2">
        <f t="shared" si="7"/>
        <v>16640</v>
      </c>
      <c r="P54" s="2">
        <f t="shared" si="8"/>
        <v>4.6222222222222218</v>
      </c>
      <c r="Q54">
        <v>1040</v>
      </c>
      <c r="R54">
        <v>1040</v>
      </c>
      <c r="S54" s="2">
        <f t="shared" si="9"/>
        <v>2080</v>
      </c>
      <c r="T54" s="2">
        <f t="shared" si="10"/>
        <v>16640</v>
      </c>
      <c r="U54" s="2">
        <f t="shared" si="11"/>
        <v>4.6222222222222218</v>
      </c>
      <c r="V54">
        <v>1120</v>
      </c>
      <c r="W54">
        <v>1120</v>
      </c>
      <c r="X54" s="2">
        <f t="shared" si="12"/>
        <v>2240</v>
      </c>
      <c r="Y54" s="2">
        <f t="shared" si="13"/>
        <v>17920</v>
      </c>
      <c r="Z54" s="2">
        <f t="shared" si="14"/>
        <v>4.9777777777777779</v>
      </c>
      <c r="AA54">
        <v>1120</v>
      </c>
      <c r="AB54">
        <v>1120</v>
      </c>
      <c r="AC54" s="2">
        <f t="shared" si="15"/>
        <v>2240</v>
      </c>
      <c r="AD54" s="2">
        <f t="shared" si="16"/>
        <v>17920</v>
      </c>
      <c r="AE54" s="2">
        <f t="shared" si="17"/>
        <v>4.9777777777777779</v>
      </c>
      <c r="AF54">
        <v>960</v>
      </c>
      <c r="AG54">
        <v>960</v>
      </c>
      <c r="AH54" s="2">
        <f t="shared" si="18"/>
        <v>1920</v>
      </c>
      <c r="AI54" s="2">
        <f t="shared" si="19"/>
        <v>15360</v>
      </c>
      <c r="AJ54" s="2">
        <f t="shared" si="20"/>
        <v>4.2666666666666666</v>
      </c>
      <c r="AK54">
        <v>1120</v>
      </c>
      <c r="AL54">
        <v>1120</v>
      </c>
      <c r="AM54" s="2">
        <f t="shared" si="21"/>
        <v>2240</v>
      </c>
      <c r="AN54" s="2">
        <f t="shared" si="22"/>
        <v>17920</v>
      </c>
      <c r="AO54" s="2">
        <f t="shared" si="23"/>
        <v>4.9777777777777779</v>
      </c>
      <c r="AP54">
        <v>1040</v>
      </c>
      <c r="AQ54">
        <v>1040</v>
      </c>
      <c r="AR54" s="2">
        <f t="shared" si="24"/>
        <v>2080</v>
      </c>
      <c r="AS54" s="2">
        <f t="shared" si="25"/>
        <v>16640</v>
      </c>
      <c r="AT54" s="2">
        <f t="shared" si="26"/>
        <v>4.6222222222222218</v>
      </c>
      <c r="AU54">
        <v>960</v>
      </c>
      <c r="AV54">
        <v>960</v>
      </c>
      <c r="AW54" s="2">
        <f t="shared" si="27"/>
        <v>1920</v>
      </c>
      <c r="AX54" s="2">
        <f t="shared" si="28"/>
        <v>15360</v>
      </c>
      <c r="AY54" s="2">
        <f t="shared" si="29"/>
        <v>4.2666666666666666</v>
      </c>
    </row>
    <row r="55" spans="1:51" x14ac:dyDescent="0.3">
      <c r="A55" s="2" t="s">
        <v>59</v>
      </c>
      <c r="B55">
        <v>1120</v>
      </c>
      <c r="C55">
        <v>1120</v>
      </c>
      <c r="D55" s="2">
        <f t="shared" si="0"/>
        <v>2240</v>
      </c>
      <c r="E55" s="2">
        <f t="shared" si="1"/>
        <v>17920</v>
      </c>
      <c r="F55" s="2">
        <f t="shared" si="2"/>
        <v>4.9777777777777779</v>
      </c>
      <c r="G55">
        <v>1040</v>
      </c>
      <c r="H55">
        <v>1040</v>
      </c>
      <c r="I55" s="2">
        <f t="shared" si="3"/>
        <v>2080</v>
      </c>
      <c r="J55" s="2">
        <f t="shared" si="4"/>
        <v>16640</v>
      </c>
      <c r="K55" s="2">
        <f t="shared" si="5"/>
        <v>4.6222222222222218</v>
      </c>
      <c r="L55">
        <v>960</v>
      </c>
      <c r="M55">
        <v>960</v>
      </c>
      <c r="N55" s="2">
        <f t="shared" si="6"/>
        <v>1920</v>
      </c>
      <c r="O55" s="2">
        <f t="shared" si="7"/>
        <v>15360</v>
      </c>
      <c r="P55" s="2">
        <f t="shared" si="8"/>
        <v>4.2666666666666666</v>
      </c>
      <c r="Q55">
        <v>1040</v>
      </c>
      <c r="R55">
        <v>1040</v>
      </c>
      <c r="S55" s="2">
        <f t="shared" si="9"/>
        <v>2080</v>
      </c>
      <c r="T55" s="2">
        <f t="shared" si="10"/>
        <v>16640</v>
      </c>
      <c r="U55" s="2">
        <f t="shared" si="11"/>
        <v>4.6222222222222218</v>
      </c>
      <c r="V55">
        <v>1200</v>
      </c>
      <c r="W55">
        <v>1200</v>
      </c>
      <c r="X55" s="2">
        <f t="shared" si="12"/>
        <v>2400</v>
      </c>
      <c r="Y55" s="2">
        <f t="shared" si="13"/>
        <v>19200</v>
      </c>
      <c r="Z55" s="2">
        <f t="shared" si="14"/>
        <v>5.333333333333333</v>
      </c>
      <c r="AA55">
        <v>1040</v>
      </c>
      <c r="AB55">
        <v>1040</v>
      </c>
      <c r="AC55" s="2">
        <f t="shared" si="15"/>
        <v>2080</v>
      </c>
      <c r="AD55" s="2">
        <f t="shared" si="16"/>
        <v>16640</v>
      </c>
      <c r="AE55" s="2">
        <f t="shared" si="17"/>
        <v>4.6222222222222218</v>
      </c>
      <c r="AF55">
        <v>960</v>
      </c>
      <c r="AG55">
        <v>960</v>
      </c>
      <c r="AH55" s="2">
        <f t="shared" si="18"/>
        <v>1920</v>
      </c>
      <c r="AI55" s="2">
        <f t="shared" si="19"/>
        <v>15360</v>
      </c>
      <c r="AJ55" s="2">
        <f t="shared" si="20"/>
        <v>4.2666666666666666</v>
      </c>
      <c r="AK55">
        <v>1040</v>
      </c>
      <c r="AL55">
        <v>1040</v>
      </c>
      <c r="AM55" s="2">
        <f t="shared" si="21"/>
        <v>2080</v>
      </c>
      <c r="AN55" s="2">
        <f t="shared" si="22"/>
        <v>16640</v>
      </c>
      <c r="AO55" s="2">
        <f t="shared" si="23"/>
        <v>4.6222222222222218</v>
      </c>
      <c r="AP55">
        <v>1200</v>
      </c>
      <c r="AQ55">
        <v>1200</v>
      </c>
      <c r="AR55" s="2">
        <f t="shared" si="24"/>
        <v>2400</v>
      </c>
      <c r="AS55" s="2">
        <f t="shared" si="25"/>
        <v>19200</v>
      </c>
      <c r="AT55" s="2">
        <f t="shared" si="26"/>
        <v>5.333333333333333</v>
      </c>
      <c r="AU55">
        <v>1120</v>
      </c>
      <c r="AV55">
        <v>1120</v>
      </c>
      <c r="AW55" s="2">
        <f t="shared" si="27"/>
        <v>2240</v>
      </c>
      <c r="AX55" s="2">
        <f t="shared" si="28"/>
        <v>17920</v>
      </c>
      <c r="AY55" s="2">
        <f t="shared" si="29"/>
        <v>4.9777777777777779</v>
      </c>
    </row>
    <row r="56" spans="1:51" x14ac:dyDescent="0.3">
      <c r="A56" s="2" t="s">
        <v>60</v>
      </c>
      <c r="B56">
        <v>1040</v>
      </c>
      <c r="C56">
        <v>1040</v>
      </c>
      <c r="D56" s="2">
        <f t="shared" si="0"/>
        <v>2080</v>
      </c>
      <c r="E56" s="2">
        <f t="shared" si="1"/>
        <v>16640</v>
      </c>
      <c r="F56" s="2">
        <f t="shared" si="2"/>
        <v>4.6222222222222218</v>
      </c>
      <c r="G56">
        <v>1040</v>
      </c>
      <c r="H56">
        <v>1040</v>
      </c>
      <c r="I56" s="2">
        <f t="shared" si="3"/>
        <v>2080</v>
      </c>
      <c r="J56" s="2">
        <f t="shared" si="4"/>
        <v>16640</v>
      </c>
      <c r="K56" s="2">
        <f t="shared" si="5"/>
        <v>4.6222222222222218</v>
      </c>
      <c r="L56">
        <v>1120</v>
      </c>
      <c r="M56">
        <v>1120</v>
      </c>
      <c r="N56" s="2">
        <f t="shared" si="6"/>
        <v>2240</v>
      </c>
      <c r="O56" s="2">
        <f t="shared" si="7"/>
        <v>17920</v>
      </c>
      <c r="P56" s="2">
        <f t="shared" si="8"/>
        <v>4.9777777777777779</v>
      </c>
      <c r="Q56">
        <v>1040</v>
      </c>
      <c r="R56">
        <v>1040</v>
      </c>
      <c r="S56" s="2">
        <f t="shared" si="9"/>
        <v>2080</v>
      </c>
      <c r="T56" s="2">
        <f t="shared" si="10"/>
        <v>16640</v>
      </c>
      <c r="U56" s="2">
        <f t="shared" si="11"/>
        <v>4.6222222222222218</v>
      </c>
      <c r="V56">
        <v>880</v>
      </c>
      <c r="W56">
        <v>880</v>
      </c>
      <c r="X56" s="2">
        <f t="shared" si="12"/>
        <v>1760</v>
      </c>
      <c r="Y56" s="2">
        <f t="shared" si="13"/>
        <v>14080</v>
      </c>
      <c r="Z56" s="2">
        <f t="shared" si="14"/>
        <v>3.911111111111111</v>
      </c>
      <c r="AA56">
        <v>1040</v>
      </c>
      <c r="AB56">
        <v>1040</v>
      </c>
      <c r="AC56" s="2">
        <f t="shared" si="15"/>
        <v>2080</v>
      </c>
      <c r="AD56" s="2">
        <f t="shared" si="16"/>
        <v>16640</v>
      </c>
      <c r="AE56" s="2">
        <f t="shared" si="17"/>
        <v>4.6222222222222218</v>
      </c>
      <c r="AF56">
        <v>1120</v>
      </c>
      <c r="AG56">
        <v>1120</v>
      </c>
      <c r="AH56" s="2">
        <f t="shared" si="18"/>
        <v>2240</v>
      </c>
      <c r="AI56" s="2">
        <f t="shared" si="19"/>
        <v>17920</v>
      </c>
      <c r="AJ56" s="2">
        <f t="shared" si="20"/>
        <v>4.9777777777777779</v>
      </c>
      <c r="AK56">
        <v>1120</v>
      </c>
      <c r="AL56">
        <v>1120</v>
      </c>
      <c r="AM56" s="2">
        <f t="shared" si="21"/>
        <v>2240</v>
      </c>
      <c r="AN56" s="2">
        <f t="shared" si="22"/>
        <v>17920</v>
      </c>
      <c r="AO56" s="2">
        <f t="shared" si="23"/>
        <v>4.9777777777777779</v>
      </c>
      <c r="AP56">
        <v>1120</v>
      </c>
      <c r="AQ56">
        <v>1120</v>
      </c>
      <c r="AR56" s="2">
        <f t="shared" si="24"/>
        <v>2240</v>
      </c>
      <c r="AS56" s="2">
        <f t="shared" si="25"/>
        <v>17920</v>
      </c>
      <c r="AT56" s="2">
        <f t="shared" si="26"/>
        <v>4.9777777777777779</v>
      </c>
      <c r="AU56">
        <v>880</v>
      </c>
      <c r="AV56">
        <v>880</v>
      </c>
      <c r="AW56" s="2">
        <f t="shared" si="27"/>
        <v>1760</v>
      </c>
      <c r="AX56" s="2">
        <f t="shared" si="28"/>
        <v>14080</v>
      </c>
      <c r="AY56" s="2">
        <f t="shared" si="29"/>
        <v>3.911111111111111</v>
      </c>
    </row>
    <row r="57" spans="1:51" x14ac:dyDescent="0.3">
      <c r="A57" s="2" t="s">
        <v>61</v>
      </c>
      <c r="B57">
        <v>1200</v>
      </c>
      <c r="C57">
        <v>1200</v>
      </c>
      <c r="D57" s="2">
        <f t="shared" si="0"/>
        <v>2400</v>
      </c>
      <c r="E57" s="2">
        <f t="shared" si="1"/>
        <v>19200</v>
      </c>
      <c r="F57" s="2">
        <f t="shared" si="2"/>
        <v>5.333333333333333</v>
      </c>
      <c r="G57">
        <v>1040</v>
      </c>
      <c r="H57">
        <v>1040</v>
      </c>
      <c r="I57" s="2">
        <f t="shared" si="3"/>
        <v>2080</v>
      </c>
      <c r="J57" s="2">
        <f t="shared" si="4"/>
        <v>16640</v>
      </c>
      <c r="K57" s="2">
        <f t="shared" si="5"/>
        <v>4.6222222222222218</v>
      </c>
      <c r="L57">
        <v>1200</v>
      </c>
      <c r="M57">
        <v>1200</v>
      </c>
      <c r="N57" s="2">
        <f t="shared" si="6"/>
        <v>2400</v>
      </c>
      <c r="O57" s="2">
        <f t="shared" si="7"/>
        <v>19200</v>
      </c>
      <c r="P57" s="2">
        <f t="shared" si="8"/>
        <v>5.333333333333333</v>
      </c>
      <c r="Q57">
        <v>1280</v>
      </c>
      <c r="R57">
        <v>1280</v>
      </c>
      <c r="S57" s="2">
        <f t="shared" si="9"/>
        <v>2560</v>
      </c>
      <c r="T57" s="2">
        <f t="shared" si="10"/>
        <v>20480</v>
      </c>
      <c r="U57" s="2">
        <f t="shared" si="11"/>
        <v>5.6888888888888891</v>
      </c>
      <c r="V57">
        <v>880</v>
      </c>
      <c r="W57">
        <v>880</v>
      </c>
      <c r="X57" s="2">
        <f t="shared" si="12"/>
        <v>1760</v>
      </c>
      <c r="Y57" s="2">
        <f t="shared" si="13"/>
        <v>14080</v>
      </c>
      <c r="Z57" s="2">
        <f t="shared" si="14"/>
        <v>3.911111111111111</v>
      </c>
      <c r="AA57">
        <v>880</v>
      </c>
      <c r="AB57">
        <v>880</v>
      </c>
      <c r="AC57" s="2">
        <f t="shared" si="15"/>
        <v>1760</v>
      </c>
      <c r="AD57" s="2">
        <f t="shared" si="16"/>
        <v>14080</v>
      </c>
      <c r="AE57" s="2">
        <f t="shared" si="17"/>
        <v>3.911111111111111</v>
      </c>
      <c r="AF57">
        <v>1120</v>
      </c>
      <c r="AG57">
        <v>1120</v>
      </c>
      <c r="AH57" s="2">
        <f t="shared" si="18"/>
        <v>2240</v>
      </c>
      <c r="AI57" s="2">
        <f t="shared" si="19"/>
        <v>17920</v>
      </c>
      <c r="AJ57" s="2">
        <f t="shared" si="20"/>
        <v>4.9777777777777779</v>
      </c>
      <c r="AK57">
        <v>960</v>
      </c>
      <c r="AL57">
        <v>960</v>
      </c>
      <c r="AM57" s="2">
        <f t="shared" si="21"/>
        <v>1920</v>
      </c>
      <c r="AN57" s="2">
        <f t="shared" si="22"/>
        <v>15360</v>
      </c>
      <c r="AO57" s="2">
        <f t="shared" si="23"/>
        <v>4.2666666666666666</v>
      </c>
      <c r="AP57">
        <v>1040</v>
      </c>
      <c r="AQ57">
        <v>1040</v>
      </c>
      <c r="AR57" s="2">
        <f t="shared" si="24"/>
        <v>2080</v>
      </c>
      <c r="AS57" s="2">
        <f t="shared" si="25"/>
        <v>16640</v>
      </c>
      <c r="AT57" s="2">
        <f t="shared" si="26"/>
        <v>4.6222222222222218</v>
      </c>
      <c r="AU57">
        <v>1200</v>
      </c>
      <c r="AV57">
        <v>1200</v>
      </c>
      <c r="AW57" s="2">
        <f t="shared" si="27"/>
        <v>2400</v>
      </c>
      <c r="AX57" s="2">
        <f t="shared" si="28"/>
        <v>19200</v>
      </c>
      <c r="AY57" s="2">
        <f t="shared" si="29"/>
        <v>5.333333333333333</v>
      </c>
    </row>
    <row r="58" spans="1:51" x14ac:dyDescent="0.3">
      <c r="A58" s="2" t="s">
        <v>62</v>
      </c>
      <c r="B58">
        <v>1040</v>
      </c>
      <c r="C58">
        <v>1040</v>
      </c>
      <c r="D58" s="2">
        <f t="shared" si="0"/>
        <v>2080</v>
      </c>
      <c r="E58" s="2">
        <f t="shared" si="1"/>
        <v>16640</v>
      </c>
      <c r="F58" s="2">
        <f t="shared" si="2"/>
        <v>4.6222222222222218</v>
      </c>
      <c r="G58">
        <v>960</v>
      </c>
      <c r="H58">
        <v>960</v>
      </c>
      <c r="I58" s="2">
        <f t="shared" si="3"/>
        <v>1920</v>
      </c>
      <c r="J58" s="2">
        <f t="shared" si="4"/>
        <v>15360</v>
      </c>
      <c r="K58" s="2">
        <f t="shared" si="5"/>
        <v>4.2666666666666666</v>
      </c>
      <c r="L58">
        <v>1040</v>
      </c>
      <c r="M58">
        <v>1040</v>
      </c>
      <c r="N58" s="2">
        <f t="shared" si="6"/>
        <v>2080</v>
      </c>
      <c r="O58" s="2">
        <f t="shared" si="7"/>
        <v>16640</v>
      </c>
      <c r="P58" s="2">
        <f t="shared" si="8"/>
        <v>4.6222222222222218</v>
      </c>
      <c r="Q58">
        <v>1200</v>
      </c>
      <c r="R58">
        <v>1200</v>
      </c>
      <c r="S58" s="2">
        <f t="shared" si="9"/>
        <v>2400</v>
      </c>
      <c r="T58" s="2">
        <f t="shared" si="10"/>
        <v>19200</v>
      </c>
      <c r="U58" s="2">
        <f t="shared" si="11"/>
        <v>5.333333333333333</v>
      </c>
      <c r="V58">
        <v>1040</v>
      </c>
      <c r="W58">
        <v>1040</v>
      </c>
      <c r="X58" s="2">
        <f t="shared" si="12"/>
        <v>2080</v>
      </c>
      <c r="Y58" s="2">
        <f t="shared" si="13"/>
        <v>16640</v>
      </c>
      <c r="Z58" s="2">
        <f t="shared" si="14"/>
        <v>4.6222222222222218</v>
      </c>
      <c r="AA58">
        <v>960</v>
      </c>
      <c r="AB58">
        <v>960</v>
      </c>
      <c r="AC58" s="2">
        <f t="shared" si="15"/>
        <v>1920</v>
      </c>
      <c r="AD58" s="2">
        <f t="shared" si="16"/>
        <v>15360</v>
      </c>
      <c r="AE58" s="2">
        <f t="shared" si="17"/>
        <v>4.2666666666666666</v>
      </c>
      <c r="AF58">
        <v>1040</v>
      </c>
      <c r="AG58">
        <v>1040</v>
      </c>
      <c r="AH58" s="2">
        <f t="shared" si="18"/>
        <v>2080</v>
      </c>
      <c r="AI58" s="2">
        <f t="shared" si="19"/>
        <v>16640</v>
      </c>
      <c r="AJ58" s="2">
        <f t="shared" si="20"/>
        <v>4.6222222222222218</v>
      </c>
      <c r="AK58">
        <v>1040</v>
      </c>
      <c r="AL58">
        <v>1040</v>
      </c>
      <c r="AM58" s="2">
        <f t="shared" si="21"/>
        <v>2080</v>
      </c>
      <c r="AN58" s="2">
        <f t="shared" si="22"/>
        <v>16640</v>
      </c>
      <c r="AO58" s="2">
        <f t="shared" si="23"/>
        <v>4.6222222222222218</v>
      </c>
      <c r="AP58">
        <v>960</v>
      </c>
      <c r="AQ58">
        <v>960</v>
      </c>
      <c r="AR58" s="2">
        <f t="shared" si="24"/>
        <v>1920</v>
      </c>
      <c r="AS58" s="2">
        <f t="shared" si="25"/>
        <v>15360</v>
      </c>
      <c r="AT58" s="2">
        <f t="shared" si="26"/>
        <v>4.2666666666666666</v>
      </c>
      <c r="AU58">
        <v>1040</v>
      </c>
      <c r="AV58">
        <v>1040</v>
      </c>
      <c r="AW58" s="2">
        <f t="shared" si="27"/>
        <v>2080</v>
      </c>
      <c r="AX58" s="2">
        <f t="shared" si="28"/>
        <v>16640</v>
      </c>
      <c r="AY58" s="2">
        <f t="shared" si="29"/>
        <v>4.6222222222222218</v>
      </c>
    </row>
    <row r="59" spans="1:51" x14ac:dyDescent="0.3">
      <c r="A59" s="2" t="s">
        <v>63</v>
      </c>
      <c r="B59">
        <v>960</v>
      </c>
      <c r="C59">
        <v>960</v>
      </c>
      <c r="D59" s="2">
        <f t="shared" si="0"/>
        <v>1920</v>
      </c>
      <c r="E59" s="2">
        <f t="shared" si="1"/>
        <v>15360</v>
      </c>
      <c r="F59" s="2">
        <f t="shared" si="2"/>
        <v>4.2666666666666666</v>
      </c>
      <c r="G59">
        <v>880</v>
      </c>
      <c r="H59">
        <v>880</v>
      </c>
      <c r="I59" s="2">
        <f t="shared" si="3"/>
        <v>1760</v>
      </c>
      <c r="J59" s="2">
        <f t="shared" si="4"/>
        <v>14080</v>
      </c>
      <c r="K59" s="2">
        <f t="shared" si="5"/>
        <v>3.911111111111111</v>
      </c>
      <c r="L59">
        <v>1200</v>
      </c>
      <c r="M59">
        <v>1200</v>
      </c>
      <c r="N59" s="2">
        <f t="shared" si="6"/>
        <v>2400</v>
      </c>
      <c r="O59" s="2">
        <f t="shared" si="7"/>
        <v>19200</v>
      </c>
      <c r="P59" s="2">
        <f t="shared" si="8"/>
        <v>5.333333333333333</v>
      </c>
      <c r="Q59">
        <v>1120</v>
      </c>
      <c r="R59">
        <v>1120</v>
      </c>
      <c r="S59" s="2">
        <f t="shared" si="9"/>
        <v>2240</v>
      </c>
      <c r="T59" s="2">
        <f t="shared" si="10"/>
        <v>17920</v>
      </c>
      <c r="U59" s="2">
        <f t="shared" si="11"/>
        <v>4.9777777777777779</v>
      </c>
      <c r="V59">
        <v>1040</v>
      </c>
      <c r="W59">
        <v>1040</v>
      </c>
      <c r="X59" s="2">
        <f t="shared" si="12"/>
        <v>2080</v>
      </c>
      <c r="Y59" s="2">
        <f t="shared" si="13"/>
        <v>16640</v>
      </c>
      <c r="Z59" s="2">
        <f t="shared" si="14"/>
        <v>4.6222222222222218</v>
      </c>
      <c r="AA59">
        <v>1280</v>
      </c>
      <c r="AB59">
        <v>1280</v>
      </c>
      <c r="AC59" s="2">
        <f t="shared" si="15"/>
        <v>2560</v>
      </c>
      <c r="AD59" s="2">
        <f t="shared" si="16"/>
        <v>20480</v>
      </c>
      <c r="AE59" s="2">
        <f t="shared" si="17"/>
        <v>5.6888888888888891</v>
      </c>
      <c r="AF59">
        <v>960</v>
      </c>
      <c r="AG59">
        <v>960</v>
      </c>
      <c r="AH59" s="2">
        <f t="shared" si="18"/>
        <v>1920</v>
      </c>
      <c r="AI59" s="2">
        <f t="shared" si="19"/>
        <v>15360</v>
      </c>
      <c r="AJ59" s="2">
        <f t="shared" si="20"/>
        <v>4.2666666666666666</v>
      </c>
      <c r="AK59">
        <v>1120</v>
      </c>
      <c r="AL59">
        <v>1120</v>
      </c>
      <c r="AM59" s="2">
        <f t="shared" si="21"/>
        <v>2240</v>
      </c>
      <c r="AN59" s="2">
        <f t="shared" si="22"/>
        <v>17920</v>
      </c>
      <c r="AO59" s="2">
        <f t="shared" si="23"/>
        <v>4.9777777777777779</v>
      </c>
      <c r="AP59">
        <v>1040</v>
      </c>
      <c r="AQ59">
        <v>1040</v>
      </c>
      <c r="AR59" s="2">
        <f t="shared" si="24"/>
        <v>2080</v>
      </c>
      <c r="AS59" s="2">
        <f t="shared" si="25"/>
        <v>16640</v>
      </c>
      <c r="AT59" s="2">
        <f t="shared" si="26"/>
        <v>4.6222222222222218</v>
      </c>
      <c r="AU59">
        <v>1120</v>
      </c>
      <c r="AV59">
        <v>1120</v>
      </c>
      <c r="AW59" s="2">
        <f t="shared" si="27"/>
        <v>2240</v>
      </c>
      <c r="AX59" s="2">
        <f t="shared" si="28"/>
        <v>17920</v>
      </c>
      <c r="AY59" s="2">
        <f t="shared" si="29"/>
        <v>4.9777777777777779</v>
      </c>
    </row>
    <row r="60" spans="1:51" x14ac:dyDescent="0.3">
      <c r="A60" s="2" t="s">
        <v>64</v>
      </c>
      <c r="B60">
        <v>1120</v>
      </c>
      <c r="C60">
        <v>1120</v>
      </c>
      <c r="D60" s="2">
        <f t="shared" si="0"/>
        <v>2240</v>
      </c>
      <c r="E60" s="2">
        <f t="shared" si="1"/>
        <v>17920</v>
      </c>
      <c r="F60" s="2">
        <f t="shared" si="2"/>
        <v>4.9777777777777779</v>
      </c>
      <c r="G60">
        <v>960</v>
      </c>
      <c r="H60">
        <v>960</v>
      </c>
      <c r="I60" s="2">
        <f t="shared" si="3"/>
        <v>1920</v>
      </c>
      <c r="J60" s="2">
        <f t="shared" si="4"/>
        <v>15360</v>
      </c>
      <c r="K60" s="2">
        <f t="shared" si="5"/>
        <v>4.2666666666666666</v>
      </c>
      <c r="L60">
        <v>960</v>
      </c>
      <c r="M60">
        <v>960</v>
      </c>
      <c r="N60" s="2">
        <f t="shared" si="6"/>
        <v>1920</v>
      </c>
      <c r="O60" s="2">
        <f t="shared" si="7"/>
        <v>15360</v>
      </c>
      <c r="P60" s="2">
        <f t="shared" si="8"/>
        <v>4.2666666666666666</v>
      </c>
      <c r="Q60">
        <v>1120</v>
      </c>
      <c r="R60">
        <v>1120</v>
      </c>
      <c r="S60" s="2">
        <f t="shared" si="9"/>
        <v>2240</v>
      </c>
      <c r="T60" s="2">
        <f t="shared" si="10"/>
        <v>17920</v>
      </c>
      <c r="U60" s="2">
        <f t="shared" si="11"/>
        <v>4.9777777777777779</v>
      </c>
      <c r="V60">
        <v>1120</v>
      </c>
      <c r="W60">
        <v>1120</v>
      </c>
      <c r="X60" s="2">
        <f t="shared" si="12"/>
        <v>2240</v>
      </c>
      <c r="Y60" s="2">
        <f t="shared" si="13"/>
        <v>17920</v>
      </c>
      <c r="Z60" s="2">
        <f t="shared" si="14"/>
        <v>4.9777777777777779</v>
      </c>
      <c r="AA60">
        <v>1280</v>
      </c>
      <c r="AB60">
        <v>1280</v>
      </c>
      <c r="AC60" s="2">
        <f t="shared" si="15"/>
        <v>2560</v>
      </c>
      <c r="AD60" s="2">
        <f t="shared" si="16"/>
        <v>20480</v>
      </c>
      <c r="AE60" s="2">
        <f t="shared" si="17"/>
        <v>5.6888888888888891</v>
      </c>
      <c r="AF60">
        <v>1040</v>
      </c>
      <c r="AG60">
        <v>1040</v>
      </c>
      <c r="AH60" s="2">
        <f t="shared" si="18"/>
        <v>2080</v>
      </c>
      <c r="AI60" s="2">
        <f t="shared" si="19"/>
        <v>16640</v>
      </c>
      <c r="AJ60" s="2">
        <f t="shared" si="20"/>
        <v>4.6222222222222218</v>
      </c>
      <c r="AK60">
        <v>1120</v>
      </c>
      <c r="AL60">
        <v>1120</v>
      </c>
      <c r="AM60" s="2">
        <f t="shared" si="21"/>
        <v>2240</v>
      </c>
      <c r="AN60" s="2">
        <f t="shared" si="22"/>
        <v>17920</v>
      </c>
      <c r="AO60" s="2">
        <f t="shared" si="23"/>
        <v>4.9777777777777779</v>
      </c>
      <c r="AP60">
        <v>1280</v>
      </c>
      <c r="AQ60">
        <v>1280</v>
      </c>
      <c r="AR60" s="2">
        <f t="shared" si="24"/>
        <v>2560</v>
      </c>
      <c r="AS60" s="2">
        <f t="shared" si="25"/>
        <v>20480</v>
      </c>
      <c r="AT60" s="2">
        <f t="shared" si="26"/>
        <v>5.6888888888888891</v>
      </c>
      <c r="AU60">
        <v>880</v>
      </c>
      <c r="AV60">
        <v>880</v>
      </c>
      <c r="AW60" s="2">
        <f t="shared" si="27"/>
        <v>1760</v>
      </c>
      <c r="AX60" s="2">
        <f t="shared" si="28"/>
        <v>14080</v>
      </c>
      <c r="AY60" s="2">
        <f t="shared" si="29"/>
        <v>3.911111111111111</v>
      </c>
    </row>
    <row r="61" spans="1:51" x14ac:dyDescent="0.3">
      <c r="A61" s="2" t="s">
        <v>65</v>
      </c>
      <c r="B61">
        <v>1120</v>
      </c>
      <c r="C61">
        <v>1120</v>
      </c>
      <c r="D61" s="2">
        <f t="shared" si="0"/>
        <v>2240</v>
      </c>
      <c r="E61" s="2">
        <f t="shared" si="1"/>
        <v>17920</v>
      </c>
      <c r="F61" s="2">
        <f t="shared" si="2"/>
        <v>4.9777777777777779</v>
      </c>
      <c r="G61">
        <v>800</v>
      </c>
      <c r="H61">
        <v>800</v>
      </c>
      <c r="I61" s="2">
        <f t="shared" si="3"/>
        <v>1600</v>
      </c>
      <c r="J61" s="2">
        <f t="shared" si="4"/>
        <v>12800</v>
      </c>
      <c r="K61" s="2">
        <f t="shared" si="5"/>
        <v>3.5555555555555554</v>
      </c>
      <c r="L61">
        <v>960</v>
      </c>
      <c r="M61">
        <v>960</v>
      </c>
      <c r="N61" s="2">
        <f t="shared" si="6"/>
        <v>1920</v>
      </c>
      <c r="O61" s="2">
        <f t="shared" si="7"/>
        <v>15360</v>
      </c>
      <c r="P61" s="2">
        <f t="shared" si="8"/>
        <v>4.2666666666666666</v>
      </c>
      <c r="Q61">
        <v>1200</v>
      </c>
      <c r="R61">
        <v>1200</v>
      </c>
      <c r="S61" s="2">
        <f t="shared" si="9"/>
        <v>2400</v>
      </c>
      <c r="T61" s="2">
        <f t="shared" si="10"/>
        <v>19200</v>
      </c>
      <c r="U61" s="2">
        <f t="shared" si="11"/>
        <v>5.333333333333333</v>
      </c>
      <c r="V61">
        <v>960</v>
      </c>
      <c r="W61">
        <v>960</v>
      </c>
      <c r="X61" s="2">
        <f t="shared" si="12"/>
        <v>1920</v>
      </c>
      <c r="Y61" s="2">
        <f t="shared" si="13"/>
        <v>15360</v>
      </c>
      <c r="Z61" s="2">
        <f t="shared" si="14"/>
        <v>4.2666666666666666</v>
      </c>
      <c r="AA61">
        <v>1040</v>
      </c>
      <c r="AB61">
        <v>1040</v>
      </c>
      <c r="AC61" s="2">
        <f t="shared" si="15"/>
        <v>2080</v>
      </c>
      <c r="AD61" s="2">
        <f t="shared" si="16"/>
        <v>16640</v>
      </c>
      <c r="AE61" s="2">
        <f t="shared" si="17"/>
        <v>4.6222222222222218</v>
      </c>
      <c r="AF61">
        <v>1200</v>
      </c>
      <c r="AG61">
        <v>1200</v>
      </c>
      <c r="AH61" s="2">
        <f t="shared" si="18"/>
        <v>2400</v>
      </c>
      <c r="AI61" s="2">
        <f t="shared" si="19"/>
        <v>19200</v>
      </c>
      <c r="AJ61" s="2">
        <f t="shared" si="20"/>
        <v>5.333333333333333</v>
      </c>
      <c r="AK61">
        <v>1040</v>
      </c>
      <c r="AL61">
        <v>1040</v>
      </c>
      <c r="AM61" s="2">
        <f t="shared" si="21"/>
        <v>2080</v>
      </c>
      <c r="AN61" s="2">
        <f t="shared" si="22"/>
        <v>16640</v>
      </c>
      <c r="AO61" s="2">
        <f t="shared" si="23"/>
        <v>4.6222222222222218</v>
      </c>
      <c r="AP61">
        <v>1200</v>
      </c>
      <c r="AQ61">
        <v>1200</v>
      </c>
      <c r="AR61" s="2">
        <f t="shared" si="24"/>
        <v>2400</v>
      </c>
      <c r="AS61" s="2">
        <f t="shared" si="25"/>
        <v>19200</v>
      </c>
      <c r="AT61" s="2">
        <f t="shared" si="26"/>
        <v>5.333333333333333</v>
      </c>
      <c r="AU61">
        <v>1120</v>
      </c>
      <c r="AV61">
        <v>1120</v>
      </c>
      <c r="AW61" s="2">
        <f t="shared" si="27"/>
        <v>2240</v>
      </c>
      <c r="AX61" s="2">
        <f t="shared" si="28"/>
        <v>17920</v>
      </c>
      <c r="AY61" s="2">
        <f t="shared" si="29"/>
        <v>4.9777777777777779</v>
      </c>
    </row>
    <row r="62" spans="1:51" x14ac:dyDescent="0.3">
      <c r="A62" s="2" t="s">
        <v>66</v>
      </c>
      <c r="B62">
        <v>1120</v>
      </c>
      <c r="C62">
        <v>1120</v>
      </c>
      <c r="D62" s="2">
        <f t="shared" si="0"/>
        <v>2240</v>
      </c>
      <c r="E62" s="2">
        <f t="shared" si="1"/>
        <v>17920</v>
      </c>
      <c r="F62" s="2">
        <f t="shared" si="2"/>
        <v>4.9777777777777779</v>
      </c>
      <c r="G62">
        <v>1040</v>
      </c>
      <c r="H62">
        <v>1040</v>
      </c>
      <c r="I62" s="2">
        <f t="shared" si="3"/>
        <v>2080</v>
      </c>
      <c r="J62" s="2">
        <f t="shared" si="4"/>
        <v>16640</v>
      </c>
      <c r="K62" s="2">
        <f t="shared" si="5"/>
        <v>4.6222222222222218</v>
      </c>
      <c r="L62">
        <v>960</v>
      </c>
      <c r="M62">
        <v>960</v>
      </c>
      <c r="N62" s="2">
        <f t="shared" si="6"/>
        <v>1920</v>
      </c>
      <c r="O62" s="2">
        <f t="shared" si="7"/>
        <v>15360</v>
      </c>
      <c r="P62" s="2">
        <f t="shared" si="8"/>
        <v>4.2666666666666666</v>
      </c>
      <c r="Q62">
        <v>1040</v>
      </c>
      <c r="R62">
        <v>1040</v>
      </c>
      <c r="S62" s="2">
        <f t="shared" si="9"/>
        <v>2080</v>
      </c>
      <c r="T62" s="2">
        <f t="shared" si="10"/>
        <v>16640</v>
      </c>
      <c r="U62" s="2">
        <f t="shared" si="11"/>
        <v>4.6222222222222218</v>
      </c>
      <c r="V62">
        <v>960</v>
      </c>
      <c r="W62">
        <v>960</v>
      </c>
      <c r="X62" s="2">
        <f t="shared" si="12"/>
        <v>1920</v>
      </c>
      <c r="Y62" s="2">
        <f t="shared" si="13"/>
        <v>15360</v>
      </c>
      <c r="Z62" s="2">
        <f t="shared" si="14"/>
        <v>4.2666666666666666</v>
      </c>
      <c r="AA62">
        <v>960</v>
      </c>
      <c r="AB62">
        <v>960</v>
      </c>
      <c r="AC62" s="2">
        <f t="shared" si="15"/>
        <v>1920</v>
      </c>
      <c r="AD62" s="2">
        <f t="shared" si="16"/>
        <v>15360</v>
      </c>
      <c r="AE62" s="2">
        <f t="shared" si="17"/>
        <v>4.2666666666666666</v>
      </c>
      <c r="AF62">
        <v>1120</v>
      </c>
      <c r="AG62">
        <v>1120</v>
      </c>
      <c r="AH62" s="2">
        <f t="shared" si="18"/>
        <v>2240</v>
      </c>
      <c r="AI62" s="2">
        <f t="shared" si="19"/>
        <v>17920</v>
      </c>
      <c r="AJ62" s="2">
        <f t="shared" si="20"/>
        <v>4.9777777777777779</v>
      </c>
      <c r="AK62">
        <v>1040</v>
      </c>
      <c r="AL62">
        <v>1040</v>
      </c>
      <c r="AM62" s="2">
        <f t="shared" si="21"/>
        <v>2080</v>
      </c>
      <c r="AN62" s="2">
        <f t="shared" si="22"/>
        <v>16640</v>
      </c>
      <c r="AO62" s="2">
        <f t="shared" si="23"/>
        <v>4.6222222222222218</v>
      </c>
      <c r="AP62">
        <v>1120</v>
      </c>
      <c r="AQ62">
        <v>1120</v>
      </c>
      <c r="AR62" s="2">
        <f t="shared" si="24"/>
        <v>2240</v>
      </c>
      <c r="AS62" s="2">
        <f t="shared" si="25"/>
        <v>17920</v>
      </c>
      <c r="AT62" s="2">
        <f t="shared" si="26"/>
        <v>4.9777777777777779</v>
      </c>
      <c r="AU62">
        <v>1120</v>
      </c>
      <c r="AV62">
        <v>1120</v>
      </c>
      <c r="AW62" s="2">
        <f t="shared" si="27"/>
        <v>2240</v>
      </c>
      <c r="AX62" s="2">
        <f t="shared" si="28"/>
        <v>17920</v>
      </c>
      <c r="AY62" s="2">
        <f t="shared" si="29"/>
        <v>4.9777777777777779</v>
      </c>
    </row>
    <row r="63" spans="1:51" x14ac:dyDescent="0.3">
      <c r="A63" s="2" t="s">
        <v>67</v>
      </c>
      <c r="B63">
        <v>1120</v>
      </c>
      <c r="C63">
        <v>1120</v>
      </c>
      <c r="D63" s="2">
        <f t="shared" si="0"/>
        <v>2240</v>
      </c>
      <c r="E63" s="2">
        <f t="shared" si="1"/>
        <v>17920</v>
      </c>
      <c r="F63" s="2">
        <f t="shared" si="2"/>
        <v>4.9777777777777779</v>
      </c>
      <c r="G63">
        <v>1040</v>
      </c>
      <c r="H63">
        <v>1040</v>
      </c>
      <c r="I63" s="2">
        <f t="shared" si="3"/>
        <v>2080</v>
      </c>
      <c r="J63" s="2">
        <f t="shared" si="4"/>
        <v>16640</v>
      </c>
      <c r="K63" s="2">
        <f t="shared" si="5"/>
        <v>4.6222222222222218</v>
      </c>
      <c r="L63">
        <v>1280</v>
      </c>
      <c r="M63">
        <v>1280</v>
      </c>
      <c r="N63" s="2">
        <f t="shared" si="6"/>
        <v>2560</v>
      </c>
      <c r="O63" s="2">
        <f t="shared" si="7"/>
        <v>20480</v>
      </c>
      <c r="P63" s="2">
        <f t="shared" si="8"/>
        <v>5.6888888888888891</v>
      </c>
      <c r="Q63">
        <v>1040</v>
      </c>
      <c r="R63">
        <v>1040</v>
      </c>
      <c r="S63" s="2">
        <f t="shared" si="9"/>
        <v>2080</v>
      </c>
      <c r="T63" s="2">
        <f t="shared" si="10"/>
        <v>16640</v>
      </c>
      <c r="U63" s="2">
        <f t="shared" si="11"/>
        <v>4.6222222222222218</v>
      </c>
      <c r="V63">
        <v>960</v>
      </c>
      <c r="W63">
        <v>960</v>
      </c>
      <c r="X63" s="2">
        <f t="shared" si="12"/>
        <v>1920</v>
      </c>
      <c r="Y63" s="2">
        <f t="shared" si="13"/>
        <v>15360</v>
      </c>
      <c r="Z63" s="2">
        <f t="shared" si="14"/>
        <v>4.2666666666666666</v>
      </c>
      <c r="AA63">
        <v>960</v>
      </c>
      <c r="AB63">
        <v>960</v>
      </c>
      <c r="AC63" s="2">
        <f t="shared" si="15"/>
        <v>1920</v>
      </c>
      <c r="AD63" s="2">
        <f t="shared" si="16"/>
        <v>15360</v>
      </c>
      <c r="AE63" s="2">
        <f t="shared" si="17"/>
        <v>4.2666666666666666</v>
      </c>
      <c r="AF63">
        <v>1120</v>
      </c>
      <c r="AG63">
        <v>1120</v>
      </c>
      <c r="AH63" s="2">
        <f t="shared" si="18"/>
        <v>2240</v>
      </c>
      <c r="AI63" s="2">
        <f t="shared" si="19"/>
        <v>17920</v>
      </c>
      <c r="AJ63" s="2">
        <f t="shared" si="20"/>
        <v>4.9777777777777779</v>
      </c>
      <c r="AK63">
        <v>1040</v>
      </c>
      <c r="AL63">
        <v>1040</v>
      </c>
      <c r="AM63" s="2">
        <f t="shared" si="21"/>
        <v>2080</v>
      </c>
      <c r="AN63" s="2">
        <f t="shared" si="22"/>
        <v>16640</v>
      </c>
      <c r="AO63" s="2">
        <f t="shared" si="23"/>
        <v>4.6222222222222218</v>
      </c>
      <c r="AP63">
        <v>880</v>
      </c>
      <c r="AQ63">
        <v>880</v>
      </c>
      <c r="AR63" s="2">
        <f t="shared" si="24"/>
        <v>1760</v>
      </c>
      <c r="AS63" s="2">
        <f t="shared" si="25"/>
        <v>14080</v>
      </c>
      <c r="AT63" s="2">
        <f t="shared" si="26"/>
        <v>3.911111111111111</v>
      </c>
      <c r="AU63">
        <v>1040</v>
      </c>
      <c r="AV63">
        <v>1040</v>
      </c>
      <c r="AW63" s="2">
        <f t="shared" si="27"/>
        <v>2080</v>
      </c>
      <c r="AX63" s="2">
        <f t="shared" si="28"/>
        <v>16640</v>
      </c>
      <c r="AY63" s="2">
        <f t="shared" si="29"/>
        <v>4.6222222222222218</v>
      </c>
    </row>
    <row r="64" spans="1:51" x14ac:dyDescent="0.3">
      <c r="A64" s="2" t="s">
        <v>68</v>
      </c>
      <c r="B64">
        <v>960</v>
      </c>
      <c r="C64">
        <v>960</v>
      </c>
      <c r="D64" s="2">
        <f t="shared" si="0"/>
        <v>1920</v>
      </c>
      <c r="E64" s="2">
        <f t="shared" si="1"/>
        <v>15360</v>
      </c>
      <c r="F64" s="2">
        <f t="shared" si="2"/>
        <v>4.2666666666666666</v>
      </c>
      <c r="G64">
        <v>1040</v>
      </c>
      <c r="H64">
        <v>1040</v>
      </c>
      <c r="I64" s="2">
        <f t="shared" si="3"/>
        <v>2080</v>
      </c>
      <c r="J64" s="2">
        <f t="shared" si="4"/>
        <v>16640</v>
      </c>
      <c r="K64" s="2">
        <f t="shared" si="5"/>
        <v>4.6222222222222218</v>
      </c>
      <c r="L64">
        <v>960</v>
      </c>
      <c r="M64">
        <v>960</v>
      </c>
      <c r="N64" s="2">
        <f t="shared" si="6"/>
        <v>1920</v>
      </c>
      <c r="O64" s="2">
        <f t="shared" si="7"/>
        <v>15360</v>
      </c>
      <c r="P64" s="2">
        <f t="shared" si="8"/>
        <v>4.2666666666666666</v>
      </c>
      <c r="Q64">
        <v>1040</v>
      </c>
      <c r="R64">
        <v>1040</v>
      </c>
      <c r="S64" s="2">
        <f t="shared" si="9"/>
        <v>2080</v>
      </c>
      <c r="T64" s="2">
        <f t="shared" si="10"/>
        <v>16640</v>
      </c>
      <c r="U64" s="2">
        <f t="shared" si="11"/>
        <v>4.6222222222222218</v>
      </c>
      <c r="V64">
        <v>960</v>
      </c>
      <c r="W64">
        <v>960</v>
      </c>
      <c r="X64" s="2">
        <f t="shared" si="12"/>
        <v>1920</v>
      </c>
      <c r="Y64" s="2">
        <f t="shared" si="13"/>
        <v>15360</v>
      </c>
      <c r="Z64" s="2">
        <f t="shared" si="14"/>
        <v>4.2666666666666666</v>
      </c>
      <c r="AA64">
        <v>1120</v>
      </c>
      <c r="AB64">
        <v>1120</v>
      </c>
      <c r="AC64" s="2">
        <f t="shared" si="15"/>
        <v>2240</v>
      </c>
      <c r="AD64" s="2">
        <f t="shared" si="16"/>
        <v>17920</v>
      </c>
      <c r="AE64" s="2">
        <f t="shared" si="17"/>
        <v>4.9777777777777779</v>
      </c>
      <c r="AF64">
        <v>1040</v>
      </c>
      <c r="AG64">
        <v>1040</v>
      </c>
      <c r="AH64" s="2">
        <f t="shared" si="18"/>
        <v>2080</v>
      </c>
      <c r="AI64" s="2">
        <f t="shared" si="19"/>
        <v>16640</v>
      </c>
      <c r="AJ64" s="2">
        <f t="shared" si="20"/>
        <v>4.6222222222222218</v>
      </c>
      <c r="AK64">
        <v>1040</v>
      </c>
      <c r="AL64">
        <v>1040</v>
      </c>
      <c r="AM64" s="2">
        <f t="shared" si="21"/>
        <v>2080</v>
      </c>
      <c r="AN64" s="2">
        <f t="shared" si="22"/>
        <v>16640</v>
      </c>
      <c r="AO64" s="2">
        <f t="shared" si="23"/>
        <v>4.6222222222222218</v>
      </c>
      <c r="AP64">
        <v>1120</v>
      </c>
      <c r="AQ64">
        <v>1120</v>
      </c>
      <c r="AR64" s="2">
        <f t="shared" si="24"/>
        <v>2240</v>
      </c>
      <c r="AS64" s="2">
        <f t="shared" si="25"/>
        <v>17920</v>
      </c>
      <c r="AT64" s="2">
        <f t="shared" si="26"/>
        <v>4.9777777777777779</v>
      </c>
      <c r="AU64">
        <v>880</v>
      </c>
      <c r="AV64">
        <v>880</v>
      </c>
      <c r="AW64" s="2">
        <f t="shared" si="27"/>
        <v>1760</v>
      </c>
      <c r="AX64" s="2">
        <f t="shared" si="28"/>
        <v>14080</v>
      </c>
      <c r="AY64" s="2">
        <f t="shared" si="29"/>
        <v>3.911111111111111</v>
      </c>
    </row>
    <row r="65" spans="1:51" x14ac:dyDescent="0.3">
      <c r="A65" s="2" t="s">
        <v>69</v>
      </c>
      <c r="B65">
        <v>1280</v>
      </c>
      <c r="C65">
        <v>1280</v>
      </c>
      <c r="D65" s="2">
        <f t="shared" si="0"/>
        <v>2560</v>
      </c>
      <c r="E65" s="2">
        <f t="shared" si="1"/>
        <v>20480</v>
      </c>
      <c r="F65" s="2">
        <f t="shared" si="2"/>
        <v>5.6888888888888891</v>
      </c>
      <c r="G65">
        <v>1280</v>
      </c>
      <c r="H65">
        <v>1280</v>
      </c>
      <c r="I65" s="2">
        <f t="shared" si="3"/>
        <v>2560</v>
      </c>
      <c r="J65" s="2">
        <f t="shared" si="4"/>
        <v>20480</v>
      </c>
      <c r="K65" s="2">
        <f t="shared" si="5"/>
        <v>5.6888888888888891</v>
      </c>
      <c r="L65">
        <v>1120</v>
      </c>
      <c r="M65">
        <v>1120</v>
      </c>
      <c r="N65" s="2">
        <f t="shared" si="6"/>
        <v>2240</v>
      </c>
      <c r="O65" s="2">
        <f t="shared" si="7"/>
        <v>17920</v>
      </c>
      <c r="P65" s="2">
        <f t="shared" si="8"/>
        <v>4.9777777777777779</v>
      </c>
      <c r="Q65">
        <v>880</v>
      </c>
      <c r="R65">
        <v>880</v>
      </c>
      <c r="S65" s="2">
        <f t="shared" si="9"/>
        <v>1760</v>
      </c>
      <c r="T65" s="2">
        <f t="shared" si="10"/>
        <v>14080</v>
      </c>
      <c r="U65" s="2">
        <f t="shared" si="11"/>
        <v>3.911111111111111</v>
      </c>
      <c r="V65">
        <v>1280</v>
      </c>
      <c r="W65">
        <v>1280</v>
      </c>
      <c r="X65" s="2">
        <f t="shared" si="12"/>
        <v>2560</v>
      </c>
      <c r="Y65" s="2">
        <f t="shared" si="13"/>
        <v>20480</v>
      </c>
      <c r="Z65" s="2">
        <f t="shared" si="14"/>
        <v>5.6888888888888891</v>
      </c>
      <c r="AA65">
        <v>1200</v>
      </c>
      <c r="AB65">
        <v>1200</v>
      </c>
      <c r="AC65" s="2">
        <f t="shared" si="15"/>
        <v>2400</v>
      </c>
      <c r="AD65" s="2">
        <f t="shared" si="16"/>
        <v>19200</v>
      </c>
      <c r="AE65" s="2">
        <f t="shared" si="17"/>
        <v>5.333333333333333</v>
      </c>
      <c r="AF65">
        <v>960</v>
      </c>
      <c r="AG65">
        <v>960</v>
      </c>
      <c r="AH65" s="2">
        <f t="shared" si="18"/>
        <v>1920</v>
      </c>
      <c r="AI65" s="2">
        <f t="shared" si="19"/>
        <v>15360</v>
      </c>
      <c r="AJ65" s="2">
        <f t="shared" si="20"/>
        <v>4.2666666666666666</v>
      </c>
      <c r="AK65">
        <v>1120</v>
      </c>
      <c r="AL65">
        <v>1120</v>
      </c>
      <c r="AM65" s="2">
        <f t="shared" si="21"/>
        <v>2240</v>
      </c>
      <c r="AN65" s="2">
        <f t="shared" si="22"/>
        <v>17920</v>
      </c>
      <c r="AO65" s="2">
        <f t="shared" si="23"/>
        <v>4.9777777777777779</v>
      </c>
      <c r="AP65">
        <v>1120</v>
      </c>
      <c r="AQ65">
        <v>1120</v>
      </c>
      <c r="AR65" s="2">
        <f t="shared" si="24"/>
        <v>2240</v>
      </c>
      <c r="AS65" s="2">
        <f t="shared" si="25"/>
        <v>17920</v>
      </c>
      <c r="AT65" s="2">
        <f t="shared" si="26"/>
        <v>4.9777777777777779</v>
      </c>
      <c r="AU65">
        <v>1200</v>
      </c>
      <c r="AV65">
        <v>1200</v>
      </c>
      <c r="AW65" s="2">
        <f t="shared" si="27"/>
        <v>2400</v>
      </c>
      <c r="AX65" s="2">
        <f t="shared" si="28"/>
        <v>19200</v>
      </c>
      <c r="AY65" s="2">
        <f t="shared" si="29"/>
        <v>5.333333333333333</v>
      </c>
    </row>
    <row r="66" spans="1:51" x14ac:dyDescent="0.3">
      <c r="A66" s="2" t="s">
        <v>70</v>
      </c>
      <c r="B66">
        <v>1200</v>
      </c>
      <c r="C66">
        <v>1200</v>
      </c>
      <c r="D66" s="2">
        <f t="shared" si="0"/>
        <v>2400</v>
      </c>
      <c r="E66" s="2">
        <f t="shared" si="1"/>
        <v>19200</v>
      </c>
      <c r="F66" s="2">
        <f t="shared" si="2"/>
        <v>5.333333333333333</v>
      </c>
      <c r="G66">
        <v>960</v>
      </c>
      <c r="H66">
        <v>960</v>
      </c>
      <c r="I66" s="2">
        <f t="shared" si="3"/>
        <v>1920</v>
      </c>
      <c r="J66" s="2">
        <f t="shared" si="4"/>
        <v>15360</v>
      </c>
      <c r="K66" s="2">
        <f t="shared" si="5"/>
        <v>4.2666666666666666</v>
      </c>
      <c r="L66">
        <v>1280</v>
      </c>
      <c r="M66">
        <v>1280</v>
      </c>
      <c r="N66" s="2">
        <f t="shared" si="6"/>
        <v>2560</v>
      </c>
      <c r="O66" s="2">
        <f t="shared" si="7"/>
        <v>20480</v>
      </c>
      <c r="P66" s="2">
        <f t="shared" si="8"/>
        <v>5.6888888888888891</v>
      </c>
      <c r="Q66">
        <v>1120</v>
      </c>
      <c r="R66">
        <v>1120</v>
      </c>
      <c r="S66" s="2">
        <f t="shared" si="9"/>
        <v>2240</v>
      </c>
      <c r="T66" s="2">
        <f t="shared" si="10"/>
        <v>17920</v>
      </c>
      <c r="U66" s="2">
        <f t="shared" si="11"/>
        <v>4.9777777777777779</v>
      </c>
      <c r="V66">
        <v>1200</v>
      </c>
      <c r="W66">
        <v>1200</v>
      </c>
      <c r="X66" s="2">
        <f t="shared" si="12"/>
        <v>2400</v>
      </c>
      <c r="Y66" s="2">
        <f t="shared" si="13"/>
        <v>19200</v>
      </c>
      <c r="Z66" s="2">
        <f t="shared" si="14"/>
        <v>5.333333333333333</v>
      </c>
      <c r="AA66">
        <v>1040</v>
      </c>
      <c r="AB66">
        <v>1040</v>
      </c>
      <c r="AC66" s="2">
        <f t="shared" si="15"/>
        <v>2080</v>
      </c>
      <c r="AD66" s="2">
        <f t="shared" si="16"/>
        <v>16640</v>
      </c>
      <c r="AE66" s="2">
        <f t="shared" si="17"/>
        <v>4.6222222222222218</v>
      </c>
      <c r="AF66">
        <v>1040</v>
      </c>
      <c r="AG66">
        <v>1040</v>
      </c>
      <c r="AH66" s="2">
        <f t="shared" si="18"/>
        <v>2080</v>
      </c>
      <c r="AI66" s="2">
        <f t="shared" si="19"/>
        <v>16640</v>
      </c>
      <c r="AJ66" s="2">
        <f t="shared" si="20"/>
        <v>4.6222222222222218</v>
      </c>
      <c r="AK66">
        <v>1200</v>
      </c>
      <c r="AL66">
        <v>1200</v>
      </c>
      <c r="AM66" s="2">
        <f t="shared" si="21"/>
        <v>2400</v>
      </c>
      <c r="AN66" s="2">
        <f t="shared" si="22"/>
        <v>19200</v>
      </c>
      <c r="AO66" s="2">
        <f t="shared" si="23"/>
        <v>5.333333333333333</v>
      </c>
      <c r="AP66">
        <v>1120</v>
      </c>
      <c r="AQ66">
        <v>1120</v>
      </c>
      <c r="AR66" s="2">
        <f t="shared" si="24"/>
        <v>2240</v>
      </c>
      <c r="AS66" s="2">
        <f t="shared" si="25"/>
        <v>17920</v>
      </c>
      <c r="AT66" s="2">
        <f t="shared" si="26"/>
        <v>4.9777777777777779</v>
      </c>
      <c r="AU66">
        <v>1200</v>
      </c>
      <c r="AV66">
        <v>1200</v>
      </c>
      <c r="AW66" s="2">
        <f t="shared" si="27"/>
        <v>2400</v>
      </c>
      <c r="AX66" s="2">
        <f t="shared" si="28"/>
        <v>19200</v>
      </c>
      <c r="AY66" s="2">
        <f t="shared" si="29"/>
        <v>5.333333333333333</v>
      </c>
    </row>
    <row r="67" spans="1:51" x14ac:dyDescent="0.3">
      <c r="A67" s="2" t="s">
        <v>71</v>
      </c>
      <c r="B67">
        <v>1120</v>
      </c>
      <c r="C67">
        <v>1120</v>
      </c>
      <c r="D67" s="2">
        <f t="shared" si="0"/>
        <v>2240</v>
      </c>
      <c r="E67" s="2">
        <f t="shared" si="1"/>
        <v>17920</v>
      </c>
      <c r="F67" s="2">
        <f t="shared" si="2"/>
        <v>4.9777777777777779</v>
      </c>
      <c r="G67">
        <v>1040</v>
      </c>
      <c r="H67">
        <v>1040</v>
      </c>
      <c r="I67" s="2">
        <f t="shared" si="3"/>
        <v>2080</v>
      </c>
      <c r="J67" s="2">
        <f t="shared" si="4"/>
        <v>16640</v>
      </c>
      <c r="K67" s="2">
        <f t="shared" si="5"/>
        <v>4.6222222222222218</v>
      </c>
      <c r="L67">
        <v>1200</v>
      </c>
      <c r="M67">
        <v>1200</v>
      </c>
      <c r="N67" s="2">
        <f t="shared" si="6"/>
        <v>2400</v>
      </c>
      <c r="O67" s="2">
        <f t="shared" si="7"/>
        <v>19200</v>
      </c>
      <c r="P67" s="2">
        <f t="shared" si="8"/>
        <v>5.333333333333333</v>
      </c>
      <c r="Q67">
        <v>960</v>
      </c>
      <c r="R67">
        <v>960</v>
      </c>
      <c r="S67" s="2">
        <f t="shared" si="9"/>
        <v>1920</v>
      </c>
      <c r="T67" s="2">
        <f t="shared" si="10"/>
        <v>15360</v>
      </c>
      <c r="U67" s="2">
        <f t="shared" si="11"/>
        <v>4.2666666666666666</v>
      </c>
      <c r="V67">
        <v>1120</v>
      </c>
      <c r="W67">
        <v>1120</v>
      </c>
      <c r="X67" s="2">
        <f t="shared" si="12"/>
        <v>2240</v>
      </c>
      <c r="Y67" s="2">
        <f t="shared" si="13"/>
        <v>17920</v>
      </c>
      <c r="Z67" s="2">
        <f t="shared" si="14"/>
        <v>4.9777777777777779</v>
      </c>
      <c r="AA67">
        <v>1200</v>
      </c>
      <c r="AB67">
        <v>1200</v>
      </c>
      <c r="AC67" s="2">
        <f t="shared" si="15"/>
        <v>2400</v>
      </c>
      <c r="AD67" s="2">
        <f t="shared" si="16"/>
        <v>19200</v>
      </c>
      <c r="AE67" s="2">
        <f t="shared" si="17"/>
        <v>5.333333333333333</v>
      </c>
      <c r="AF67">
        <v>1200</v>
      </c>
      <c r="AG67">
        <v>1200</v>
      </c>
      <c r="AH67" s="2">
        <f t="shared" si="18"/>
        <v>2400</v>
      </c>
      <c r="AI67" s="2">
        <f t="shared" si="19"/>
        <v>19200</v>
      </c>
      <c r="AJ67" s="2">
        <f t="shared" si="20"/>
        <v>5.333333333333333</v>
      </c>
      <c r="AK67">
        <v>1120</v>
      </c>
      <c r="AL67">
        <v>1120</v>
      </c>
      <c r="AM67" s="2">
        <f t="shared" si="21"/>
        <v>2240</v>
      </c>
      <c r="AN67" s="2">
        <f t="shared" si="22"/>
        <v>17920</v>
      </c>
      <c r="AO67" s="2">
        <f t="shared" si="23"/>
        <v>4.9777777777777779</v>
      </c>
      <c r="AP67">
        <v>1120</v>
      </c>
      <c r="AQ67">
        <v>1120</v>
      </c>
      <c r="AR67" s="2">
        <f t="shared" si="24"/>
        <v>2240</v>
      </c>
      <c r="AS67" s="2">
        <f t="shared" si="25"/>
        <v>17920</v>
      </c>
      <c r="AT67" s="2">
        <f t="shared" si="26"/>
        <v>4.9777777777777779</v>
      </c>
      <c r="AU67">
        <v>1200</v>
      </c>
      <c r="AV67">
        <v>1200</v>
      </c>
      <c r="AW67" s="2">
        <f t="shared" si="27"/>
        <v>2400</v>
      </c>
      <c r="AX67" s="2">
        <f t="shared" si="28"/>
        <v>19200</v>
      </c>
      <c r="AY67" s="2">
        <f t="shared" si="29"/>
        <v>5.333333333333333</v>
      </c>
    </row>
    <row r="68" spans="1:51" x14ac:dyDescent="0.3">
      <c r="A68" s="2" t="s">
        <v>72</v>
      </c>
      <c r="B68">
        <v>1040</v>
      </c>
      <c r="C68">
        <v>1040</v>
      </c>
      <c r="D68" s="2">
        <f t="shared" ref="D68:D102" si="30">SUM(B68:C68)</f>
        <v>2080</v>
      </c>
      <c r="E68" s="2">
        <f t="shared" ref="E68:E102" si="31">(D68*8)</f>
        <v>16640</v>
      </c>
      <c r="F68" s="2">
        <f t="shared" ref="F68:F102" si="32">(E68/3600)</f>
        <v>4.6222222222222218</v>
      </c>
      <c r="G68">
        <v>960</v>
      </c>
      <c r="H68">
        <v>960</v>
      </c>
      <c r="I68" s="2">
        <f t="shared" ref="I68:I102" si="33">SUM(G68:H68)</f>
        <v>1920</v>
      </c>
      <c r="J68" s="2">
        <f t="shared" ref="J68:J102" si="34">(I68*8)</f>
        <v>15360</v>
      </c>
      <c r="K68" s="2">
        <f t="shared" ref="K68:K102" si="35">(J68/3600)</f>
        <v>4.2666666666666666</v>
      </c>
      <c r="L68">
        <v>1040</v>
      </c>
      <c r="M68">
        <v>1040</v>
      </c>
      <c r="N68" s="2">
        <f t="shared" ref="N68:N102" si="36">SUM(L68:M68)</f>
        <v>2080</v>
      </c>
      <c r="O68" s="2">
        <f t="shared" ref="O68:O102" si="37">(N68*8)</f>
        <v>16640</v>
      </c>
      <c r="P68" s="2">
        <f t="shared" ref="P68:P102" si="38">(O68/3600)</f>
        <v>4.6222222222222218</v>
      </c>
      <c r="Q68">
        <v>1040</v>
      </c>
      <c r="R68">
        <v>1040</v>
      </c>
      <c r="S68" s="2">
        <f t="shared" ref="S68:S102" si="39">SUM(Q68:R68)</f>
        <v>2080</v>
      </c>
      <c r="T68" s="2">
        <f t="shared" ref="T68:T102" si="40">(S68*8)</f>
        <v>16640</v>
      </c>
      <c r="U68" s="2">
        <f t="shared" ref="U68:U102" si="41">(T68/3600)</f>
        <v>4.6222222222222218</v>
      </c>
      <c r="V68">
        <v>1120</v>
      </c>
      <c r="W68">
        <v>1120</v>
      </c>
      <c r="X68" s="2">
        <f t="shared" ref="X68:X102" si="42">SUM(V68:W68)</f>
        <v>2240</v>
      </c>
      <c r="Y68" s="2">
        <f t="shared" ref="Y68:Y102" si="43">(X68*8)</f>
        <v>17920</v>
      </c>
      <c r="Z68" s="2">
        <f t="shared" ref="Z68:Z102" si="44">(Y68/3600)</f>
        <v>4.9777777777777779</v>
      </c>
      <c r="AA68">
        <v>1120</v>
      </c>
      <c r="AB68">
        <v>1120</v>
      </c>
      <c r="AC68" s="2">
        <f t="shared" ref="AC68:AC102" si="45">SUM(AA68:AB68)</f>
        <v>2240</v>
      </c>
      <c r="AD68" s="2">
        <f t="shared" ref="AD68:AD102" si="46">(AC68*8)</f>
        <v>17920</v>
      </c>
      <c r="AE68" s="2">
        <f t="shared" ref="AE68:AE102" si="47">(AD68/3600)</f>
        <v>4.9777777777777779</v>
      </c>
      <c r="AF68">
        <v>1120</v>
      </c>
      <c r="AG68">
        <v>1120</v>
      </c>
      <c r="AH68" s="2">
        <f t="shared" ref="AH68:AH102" si="48">SUM(AF68:AG68)</f>
        <v>2240</v>
      </c>
      <c r="AI68" s="2">
        <f t="shared" ref="AI68:AI102" si="49">(AH68*8)</f>
        <v>17920</v>
      </c>
      <c r="AJ68" s="2">
        <f t="shared" ref="AJ68:AJ102" si="50">(AI68/3600)</f>
        <v>4.9777777777777779</v>
      </c>
      <c r="AK68">
        <v>1200</v>
      </c>
      <c r="AL68">
        <v>1200</v>
      </c>
      <c r="AM68" s="2">
        <f t="shared" ref="AM68:AM102" si="51">SUM(AK68:AL68)</f>
        <v>2400</v>
      </c>
      <c r="AN68" s="2">
        <f t="shared" ref="AN68:AN102" si="52">(AM68*8)</f>
        <v>19200</v>
      </c>
      <c r="AO68" s="2">
        <f t="shared" ref="AO68:AO102" si="53">(AN68/3600)</f>
        <v>5.333333333333333</v>
      </c>
      <c r="AP68">
        <v>880</v>
      </c>
      <c r="AQ68">
        <v>880</v>
      </c>
      <c r="AR68" s="2">
        <f t="shared" ref="AR68:AR102" si="54">SUM(AP68:AQ68)</f>
        <v>1760</v>
      </c>
      <c r="AS68" s="2">
        <f t="shared" ref="AS68:AS102" si="55">(AR68*8)</f>
        <v>14080</v>
      </c>
      <c r="AT68" s="2">
        <f t="shared" ref="AT68:AT102" si="56">(AS68/3600)</f>
        <v>3.911111111111111</v>
      </c>
      <c r="AU68">
        <v>880</v>
      </c>
      <c r="AV68">
        <v>880</v>
      </c>
      <c r="AW68" s="2">
        <f t="shared" ref="AW68:AW102" si="57">SUM(AU68:AV68)</f>
        <v>1760</v>
      </c>
      <c r="AX68" s="2">
        <f t="shared" ref="AX68:AX102" si="58">(AW68*8)</f>
        <v>14080</v>
      </c>
      <c r="AY68" s="2">
        <f t="shared" ref="AY68:AY102" si="59">(AX68/3600)</f>
        <v>3.911111111111111</v>
      </c>
    </row>
    <row r="69" spans="1:51" x14ac:dyDescent="0.3">
      <c r="A69" s="2" t="s">
        <v>73</v>
      </c>
      <c r="B69">
        <v>1120</v>
      </c>
      <c r="C69">
        <v>1120</v>
      </c>
      <c r="D69" s="2">
        <f t="shared" si="30"/>
        <v>2240</v>
      </c>
      <c r="E69" s="2">
        <f t="shared" si="31"/>
        <v>17920</v>
      </c>
      <c r="F69" s="2">
        <f t="shared" si="32"/>
        <v>4.9777777777777779</v>
      </c>
      <c r="G69">
        <v>1200</v>
      </c>
      <c r="H69">
        <v>1200</v>
      </c>
      <c r="I69" s="2">
        <f t="shared" si="33"/>
        <v>2400</v>
      </c>
      <c r="J69" s="2">
        <f t="shared" si="34"/>
        <v>19200</v>
      </c>
      <c r="K69" s="2">
        <f t="shared" si="35"/>
        <v>5.333333333333333</v>
      </c>
      <c r="L69">
        <v>880</v>
      </c>
      <c r="M69">
        <v>880</v>
      </c>
      <c r="N69" s="2">
        <f t="shared" si="36"/>
        <v>1760</v>
      </c>
      <c r="O69" s="2">
        <f t="shared" si="37"/>
        <v>14080</v>
      </c>
      <c r="P69" s="2">
        <f t="shared" si="38"/>
        <v>3.911111111111111</v>
      </c>
      <c r="Q69">
        <v>960</v>
      </c>
      <c r="R69">
        <v>960</v>
      </c>
      <c r="S69" s="2">
        <f t="shared" si="39"/>
        <v>1920</v>
      </c>
      <c r="T69" s="2">
        <f t="shared" si="40"/>
        <v>15360</v>
      </c>
      <c r="U69" s="2">
        <f t="shared" si="41"/>
        <v>4.2666666666666666</v>
      </c>
      <c r="V69">
        <v>1200</v>
      </c>
      <c r="W69">
        <v>1200</v>
      </c>
      <c r="X69" s="2">
        <f t="shared" si="42"/>
        <v>2400</v>
      </c>
      <c r="Y69" s="2">
        <f t="shared" si="43"/>
        <v>19200</v>
      </c>
      <c r="Z69" s="2">
        <f t="shared" si="44"/>
        <v>5.333333333333333</v>
      </c>
      <c r="AA69">
        <v>1200</v>
      </c>
      <c r="AB69">
        <v>1200</v>
      </c>
      <c r="AC69" s="2">
        <f t="shared" si="45"/>
        <v>2400</v>
      </c>
      <c r="AD69" s="2">
        <f t="shared" si="46"/>
        <v>19200</v>
      </c>
      <c r="AE69" s="2">
        <f t="shared" si="47"/>
        <v>5.333333333333333</v>
      </c>
      <c r="AF69">
        <v>1040</v>
      </c>
      <c r="AG69">
        <v>1040</v>
      </c>
      <c r="AH69" s="2">
        <f t="shared" si="48"/>
        <v>2080</v>
      </c>
      <c r="AI69" s="2">
        <f t="shared" si="49"/>
        <v>16640</v>
      </c>
      <c r="AJ69" s="2">
        <f t="shared" si="50"/>
        <v>4.6222222222222218</v>
      </c>
      <c r="AK69">
        <v>1280</v>
      </c>
      <c r="AL69">
        <v>1280</v>
      </c>
      <c r="AM69" s="2">
        <f t="shared" si="51"/>
        <v>2560</v>
      </c>
      <c r="AN69" s="2">
        <f t="shared" si="52"/>
        <v>20480</v>
      </c>
      <c r="AO69" s="2">
        <f t="shared" si="53"/>
        <v>5.6888888888888891</v>
      </c>
      <c r="AP69">
        <v>1280</v>
      </c>
      <c r="AQ69">
        <v>1280</v>
      </c>
      <c r="AR69" s="2">
        <f t="shared" si="54"/>
        <v>2560</v>
      </c>
      <c r="AS69" s="2">
        <f t="shared" si="55"/>
        <v>20480</v>
      </c>
      <c r="AT69" s="2">
        <f t="shared" si="56"/>
        <v>5.6888888888888891</v>
      </c>
      <c r="AU69">
        <v>1120</v>
      </c>
      <c r="AV69">
        <v>1120</v>
      </c>
      <c r="AW69" s="2">
        <f t="shared" si="57"/>
        <v>2240</v>
      </c>
      <c r="AX69" s="2">
        <f t="shared" si="58"/>
        <v>17920</v>
      </c>
      <c r="AY69" s="2">
        <f t="shared" si="59"/>
        <v>4.9777777777777779</v>
      </c>
    </row>
    <row r="70" spans="1:51" x14ac:dyDescent="0.3">
      <c r="A70" s="2" t="s">
        <v>74</v>
      </c>
      <c r="B70">
        <v>800</v>
      </c>
      <c r="C70">
        <v>800</v>
      </c>
      <c r="D70" s="2">
        <f t="shared" si="30"/>
        <v>1600</v>
      </c>
      <c r="E70" s="2">
        <f t="shared" si="31"/>
        <v>12800</v>
      </c>
      <c r="F70" s="2">
        <f t="shared" si="32"/>
        <v>3.5555555555555554</v>
      </c>
      <c r="G70">
        <v>1040</v>
      </c>
      <c r="H70">
        <v>1040</v>
      </c>
      <c r="I70" s="2">
        <f t="shared" si="33"/>
        <v>2080</v>
      </c>
      <c r="J70" s="2">
        <f t="shared" si="34"/>
        <v>16640</v>
      </c>
      <c r="K70" s="2">
        <f t="shared" si="35"/>
        <v>4.6222222222222218</v>
      </c>
      <c r="L70">
        <v>960</v>
      </c>
      <c r="M70">
        <v>960</v>
      </c>
      <c r="N70" s="2">
        <f t="shared" si="36"/>
        <v>1920</v>
      </c>
      <c r="O70" s="2">
        <f t="shared" si="37"/>
        <v>15360</v>
      </c>
      <c r="P70" s="2">
        <f t="shared" si="38"/>
        <v>4.2666666666666666</v>
      </c>
      <c r="Q70">
        <v>1040</v>
      </c>
      <c r="R70">
        <v>1040</v>
      </c>
      <c r="S70" s="2">
        <f t="shared" si="39"/>
        <v>2080</v>
      </c>
      <c r="T70" s="2">
        <f t="shared" si="40"/>
        <v>16640</v>
      </c>
      <c r="U70" s="2">
        <f t="shared" si="41"/>
        <v>4.6222222222222218</v>
      </c>
      <c r="V70">
        <v>960</v>
      </c>
      <c r="W70">
        <v>960</v>
      </c>
      <c r="X70" s="2">
        <f t="shared" si="42"/>
        <v>1920</v>
      </c>
      <c r="Y70" s="2">
        <f t="shared" si="43"/>
        <v>15360</v>
      </c>
      <c r="Z70" s="2">
        <f t="shared" si="44"/>
        <v>4.2666666666666666</v>
      </c>
      <c r="AA70">
        <v>1200</v>
      </c>
      <c r="AB70">
        <v>1200</v>
      </c>
      <c r="AC70" s="2">
        <f t="shared" si="45"/>
        <v>2400</v>
      </c>
      <c r="AD70" s="2">
        <f t="shared" si="46"/>
        <v>19200</v>
      </c>
      <c r="AE70" s="2">
        <f t="shared" si="47"/>
        <v>5.333333333333333</v>
      </c>
      <c r="AF70">
        <v>1120</v>
      </c>
      <c r="AG70">
        <v>1120</v>
      </c>
      <c r="AH70" s="2">
        <f t="shared" si="48"/>
        <v>2240</v>
      </c>
      <c r="AI70" s="2">
        <f t="shared" si="49"/>
        <v>17920</v>
      </c>
      <c r="AJ70" s="2">
        <f t="shared" si="50"/>
        <v>4.9777777777777779</v>
      </c>
      <c r="AK70">
        <v>880</v>
      </c>
      <c r="AL70">
        <v>880</v>
      </c>
      <c r="AM70" s="2">
        <f t="shared" si="51"/>
        <v>1760</v>
      </c>
      <c r="AN70" s="2">
        <f t="shared" si="52"/>
        <v>14080</v>
      </c>
      <c r="AO70" s="2">
        <f t="shared" si="53"/>
        <v>3.911111111111111</v>
      </c>
      <c r="AP70">
        <v>960</v>
      </c>
      <c r="AQ70">
        <v>960</v>
      </c>
      <c r="AR70" s="2">
        <f t="shared" si="54"/>
        <v>1920</v>
      </c>
      <c r="AS70" s="2">
        <f t="shared" si="55"/>
        <v>15360</v>
      </c>
      <c r="AT70" s="2">
        <f t="shared" si="56"/>
        <v>4.2666666666666666</v>
      </c>
      <c r="AU70">
        <v>1120</v>
      </c>
      <c r="AV70">
        <v>1120</v>
      </c>
      <c r="AW70" s="2">
        <f t="shared" si="57"/>
        <v>2240</v>
      </c>
      <c r="AX70" s="2">
        <f t="shared" si="58"/>
        <v>17920</v>
      </c>
      <c r="AY70" s="2">
        <f t="shared" si="59"/>
        <v>4.9777777777777779</v>
      </c>
    </row>
    <row r="71" spans="1:51" x14ac:dyDescent="0.3">
      <c r="A71" s="2" t="s">
        <v>75</v>
      </c>
      <c r="B71">
        <v>960</v>
      </c>
      <c r="C71">
        <v>960</v>
      </c>
      <c r="D71" s="2">
        <f t="shared" si="30"/>
        <v>1920</v>
      </c>
      <c r="E71" s="2">
        <f t="shared" si="31"/>
        <v>15360</v>
      </c>
      <c r="F71" s="2">
        <f t="shared" si="32"/>
        <v>4.2666666666666666</v>
      </c>
      <c r="G71">
        <v>1040</v>
      </c>
      <c r="H71">
        <v>1040</v>
      </c>
      <c r="I71" s="2">
        <f t="shared" si="33"/>
        <v>2080</v>
      </c>
      <c r="J71" s="2">
        <f t="shared" si="34"/>
        <v>16640</v>
      </c>
      <c r="K71" s="2">
        <f t="shared" si="35"/>
        <v>4.6222222222222218</v>
      </c>
      <c r="L71">
        <v>960</v>
      </c>
      <c r="M71">
        <v>960</v>
      </c>
      <c r="N71" s="2">
        <f t="shared" si="36"/>
        <v>1920</v>
      </c>
      <c r="O71" s="2">
        <f t="shared" si="37"/>
        <v>15360</v>
      </c>
      <c r="P71" s="2">
        <f t="shared" si="38"/>
        <v>4.2666666666666666</v>
      </c>
      <c r="Q71">
        <v>1120</v>
      </c>
      <c r="R71">
        <v>1120</v>
      </c>
      <c r="S71" s="2">
        <f t="shared" si="39"/>
        <v>2240</v>
      </c>
      <c r="T71" s="2">
        <f t="shared" si="40"/>
        <v>17920</v>
      </c>
      <c r="U71" s="2">
        <f t="shared" si="41"/>
        <v>4.9777777777777779</v>
      </c>
      <c r="V71">
        <v>1040</v>
      </c>
      <c r="W71">
        <v>1040</v>
      </c>
      <c r="X71" s="2">
        <f t="shared" si="42"/>
        <v>2080</v>
      </c>
      <c r="Y71" s="2">
        <f t="shared" si="43"/>
        <v>16640</v>
      </c>
      <c r="Z71" s="2">
        <f t="shared" si="44"/>
        <v>4.6222222222222218</v>
      </c>
      <c r="AA71">
        <v>1120</v>
      </c>
      <c r="AB71">
        <v>1120</v>
      </c>
      <c r="AC71" s="2">
        <f t="shared" si="45"/>
        <v>2240</v>
      </c>
      <c r="AD71" s="2">
        <f t="shared" si="46"/>
        <v>17920</v>
      </c>
      <c r="AE71" s="2">
        <f t="shared" si="47"/>
        <v>4.9777777777777779</v>
      </c>
      <c r="AF71">
        <v>880</v>
      </c>
      <c r="AG71">
        <v>880</v>
      </c>
      <c r="AH71" s="2">
        <f t="shared" si="48"/>
        <v>1760</v>
      </c>
      <c r="AI71" s="2">
        <f t="shared" si="49"/>
        <v>14080</v>
      </c>
      <c r="AJ71" s="2">
        <f t="shared" si="50"/>
        <v>3.911111111111111</v>
      </c>
      <c r="AK71">
        <v>1120</v>
      </c>
      <c r="AL71">
        <v>1120</v>
      </c>
      <c r="AM71" s="2">
        <f t="shared" si="51"/>
        <v>2240</v>
      </c>
      <c r="AN71" s="2">
        <f t="shared" si="52"/>
        <v>17920</v>
      </c>
      <c r="AO71" s="2">
        <f t="shared" si="53"/>
        <v>4.9777777777777779</v>
      </c>
      <c r="AP71">
        <v>1280</v>
      </c>
      <c r="AQ71">
        <v>1280</v>
      </c>
      <c r="AR71" s="2">
        <f t="shared" si="54"/>
        <v>2560</v>
      </c>
      <c r="AS71" s="2">
        <f t="shared" si="55"/>
        <v>20480</v>
      </c>
      <c r="AT71" s="2">
        <f t="shared" si="56"/>
        <v>5.6888888888888891</v>
      </c>
      <c r="AU71">
        <v>1040</v>
      </c>
      <c r="AV71">
        <v>1040</v>
      </c>
      <c r="AW71" s="2">
        <f t="shared" si="57"/>
        <v>2080</v>
      </c>
      <c r="AX71" s="2">
        <f t="shared" si="58"/>
        <v>16640</v>
      </c>
      <c r="AY71" s="2">
        <f t="shared" si="59"/>
        <v>4.6222222222222218</v>
      </c>
    </row>
    <row r="72" spans="1:51" x14ac:dyDescent="0.3">
      <c r="A72" s="2" t="s">
        <v>76</v>
      </c>
      <c r="B72">
        <v>1200</v>
      </c>
      <c r="C72">
        <v>1200</v>
      </c>
      <c r="D72" s="2">
        <f t="shared" si="30"/>
        <v>2400</v>
      </c>
      <c r="E72" s="2">
        <f t="shared" si="31"/>
        <v>19200</v>
      </c>
      <c r="F72" s="2">
        <f t="shared" si="32"/>
        <v>5.333333333333333</v>
      </c>
      <c r="G72">
        <v>1200</v>
      </c>
      <c r="H72">
        <v>1200</v>
      </c>
      <c r="I72" s="2">
        <f t="shared" si="33"/>
        <v>2400</v>
      </c>
      <c r="J72" s="2">
        <f t="shared" si="34"/>
        <v>19200</v>
      </c>
      <c r="K72" s="2">
        <f t="shared" si="35"/>
        <v>5.333333333333333</v>
      </c>
      <c r="L72">
        <v>1120</v>
      </c>
      <c r="M72">
        <v>1120</v>
      </c>
      <c r="N72" s="2">
        <f t="shared" si="36"/>
        <v>2240</v>
      </c>
      <c r="O72" s="2">
        <f t="shared" si="37"/>
        <v>17920</v>
      </c>
      <c r="P72" s="2">
        <f t="shared" si="38"/>
        <v>4.9777777777777779</v>
      </c>
      <c r="Q72">
        <v>1200</v>
      </c>
      <c r="R72">
        <v>1200</v>
      </c>
      <c r="S72" s="2">
        <f t="shared" si="39"/>
        <v>2400</v>
      </c>
      <c r="T72" s="2">
        <f t="shared" si="40"/>
        <v>19200</v>
      </c>
      <c r="U72" s="2">
        <f t="shared" si="41"/>
        <v>5.333333333333333</v>
      </c>
      <c r="V72">
        <v>1200</v>
      </c>
      <c r="W72">
        <v>1200</v>
      </c>
      <c r="X72" s="2">
        <f t="shared" si="42"/>
        <v>2400</v>
      </c>
      <c r="Y72" s="2">
        <f t="shared" si="43"/>
        <v>19200</v>
      </c>
      <c r="Z72" s="2">
        <f t="shared" si="44"/>
        <v>5.333333333333333</v>
      </c>
      <c r="AA72">
        <v>1280</v>
      </c>
      <c r="AB72">
        <v>1280</v>
      </c>
      <c r="AC72" s="2">
        <f t="shared" si="45"/>
        <v>2560</v>
      </c>
      <c r="AD72" s="2">
        <f t="shared" si="46"/>
        <v>20480</v>
      </c>
      <c r="AE72" s="2">
        <f t="shared" si="47"/>
        <v>5.6888888888888891</v>
      </c>
      <c r="AF72">
        <v>1200</v>
      </c>
      <c r="AG72">
        <v>1200</v>
      </c>
      <c r="AH72" s="2">
        <f t="shared" si="48"/>
        <v>2400</v>
      </c>
      <c r="AI72" s="2">
        <f t="shared" si="49"/>
        <v>19200</v>
      </c>
      <c r="AJ72" s="2">
        <f t="shared" si="50"/>
        <v>5.333333333333333</v>
      </c>
      <c r="AK72">
        <v>1200</v>
      </c>
      <c r="AL72">
        <v>1200</v>
      </c>
      <c r="AM72" s="2">
        <f t="shared" si="51"/>
        <v>2400</v>
      </c>
      <c r="AN72" s="2">
        <f t="shared" si="52"/>
        <v>19200</v>
      </c>
      <c r="AO72" s="2">
        <f t="shared" si="53"/>
        <v>5.333333333333333</v>
      </c>
      <c r="AP72">
        <v>1120</v>
      </c>
      <c r="AQ72">
        <v>1120</v>
      </c>
      <c r="AR72" s="2">
        <f t="shared" si="54"/>
        <v>2240</v>
      </c>
      <c r="AS72" s="2">
        <f t="shared" si="55"/>
        <v>17920</v>
      </c>
      <c r="AT72" s="2">
        <f t="shared" si="56"/>
        <v>4.9777777777777779</v>
      </c>
      <c r="AU72">
        <v>1200</v>
      </c>
      <c r="AV72">
        <v>1200</v>
      </c>
      <c r="AW72" s="2">
        <f t="shared" si="57"/>
        <v>2400</v>
      </c>
      <c r="AX72" s="2">
        <f t="shared" si="58"/>
        <v>19200</v>
      </c>
      <c r="AY72" s="2">
        <f t="shared" si="59"/>
        <v>5.333333333333333</v>
      </c>
    </row>
    <row r="73" spans="1:51" x14ac:dyDescent="0.3">
      <c r="A73" s="2" t="s">
        <v>77</v>
      </c>
      <c r="B73">
        <v>880</v>
      </c>
      <c r="C73">
        <v>880</v>
      </c>
      <c r="D73" s="2">
        <f t="shared" si="30"/>
        <v>1760</v>
      </c>
      <c r="E73" s="2">
        <f t="shared" si="31"/>
        <v>14080</v>
      </c>
      <c r="F73" s="2">
        <f t="shared" si="32"/>
        <v>3.911111111111111</v>
      </c>
      <c r="G73">
        <v>1040</v>
      </c>
      <c r="H73">
        <v>1040</v>
      </c>
      <c r="I73" s="2">
        <f t="shared" si="33"/>
        <v>2080</v>
      </c>
      <c r="J73" s="2">
        <f t="shared" si="34"/>
        <v>16640</v>
      </c>
      <c r="K73" s="2">
        <f t="shared" si="35"/>
        <v>4.6222222222222218</v>
      </c>
      <c r="L73">
        <v>1120</v>
      </c>
      <c r="M73">
        <v>1120</v>
      </c>
      <c r="N73" s="2">
        <f t="shared" si="36"/>
        <v>2240</v>
      </c>
      <c r="O73" s="2">
        <f t="shared" si="37"/>
        <v>17920</v>
      </c>
      <c r="P73" s="2">
        <f t="shared" si="38"/>
        <v>4.9777777777777779</v>
      </c>
      <c r="Q73">
        <v>1120</v>
      </c>
      <c r="R73">
        <v>1120</v>
      </c>
      <c r="S73" s="2">
        <f t="shared" si="39"/>
        <v>2240</v>
      </c>
      <c r="T73" s="2">
        <f t="shared" si="40"/>
        <v>17920</v>
      </c>
      <c r="U73" s="2">
        <f t="shared" si="41"/>
        <v>4.9777777777777779</v>
      </c>
      <c r="V73">
        <v>1120</v>
      </c>
      <c r="W73">
        <v>1120</v>
      </c>
      <c r="X73" s="2">
        <f t="shared" si="42"/>
        <v>2240</v>
      </c>
      <c r="Y73" s="2">
        <f t="shared" si="43"/>
        <v>17920</v>
      </c>
      <c r="Z73" s="2">
        <f t="shared" si="44"/>
        <v>4.9777777777777779</v>
      </c>
      <c r="AA73">
        <v>1040</v>
      </c>
      <c r="AB73">
        <v>1040</v>
      </c>
      <c r="AC73" s="2">
        <f t="shared" si="45"/>
        <v>2080</v>
      </c>
      <c r="AD73" s="2">
        <f t="shared" si="46"/>
        <v>16640</v>
      </c>
      <c r="AE73" s="2">
        <f t="shared" si="47"/>
        <v>4.6222222222222218</v>
      </c>
      <c r="AF73">
        <v>1120</v>
      </c>
      <c r="AG73">
        <v>1120</v>
      </c>
      <c r="AH73" s="2">
        <f t="shared" si="48"/>
        <v>2240</v>
      </c>
      <c r="AI73" s="2">
        <f t="shared" si="49"/>
        <v>17920</v>
      </c>
      <c r="AJ73" s="2">
        <f t="shared" si="50"/>
        <v>4.9777777777777779</v>
      </c>
      <c r="AK73">
        <v>960</v>
      </c>
      <c r="AL73">
        <v>960</v>
      </c>
      <c r="AM73" s="2">
        <f t="shared" si="51"/>
        <v>1920</v>
      </c>
      <c r="AN73" s="2">
        <f t="shared" si="52"/>
        <v>15360</v>
      </c>
      <c r="AO73" s="2">
        <f t="shared" si="53"/>
        <v>4.2666666666666666</v>
      </c>
      <c r="AP73">
        <v>960</v>
      </c>
      <c r="AQ73">
        <v>960</v>
      </c>
      <c r="AR73" s="2">
        <f t="shared" si="54"/>
        <v>1920</v>
      </c>
      <c r="AS73" s="2">
        <f t="shared" si="55"/>
        <v>15360</v>
      </c>
      <c r="AT73" s="2">
        <f t="shared" si="56"/>
        <v>4.2666666666666666</v>
      </c>
      <c r="AU73">
        <v>800</v>
      </c>
      <c r="AV73">
        <v>800</v>
      </c>
      <c r="AW73" s="2">
        <f t="shared" si="57"/>
        <v>1600</v>
      </c>
      <c r="AX73" s="2">
        <f t="shared" si="58"/>
        <v>12800</v>
      </c>
      <c r="AY73" s="2">
        <f t="shared" si="59"/>
        <v>3.5555555555555554</v>
      </c>
    </row>
    <row r="74" spans="1:51" x14ac:dyDescent="0.3">
      <c r="A74" s="2" t="s">
        <v>78</v>
      </c>
      <c r="B74">
        <v>960</v>
      </c>
      <c r="C74">
        <v>960</v>
      </c>
      <c r="D74" s="2">
        <f t="shared" si="30"/>
        <v>1920</v>
      </c>
      <c r="E74" s="2">
        <f t="shared" si="31"/>
        <v>15360</v>
      </c>
      <c r="F74" s="2">
        <f t="shared" si="32"/>
        <v>4.2666666666666666</v>
      </c>
      <c r="G74">
        <v>1040</v>
      </c>
      <c r="H74">
        <v>1040</v>
      </c>
      <c r="I74" s="2">
        <f t="shared" si="33"/>
        <v>2080</v>
      </c>
      <c r="J74" s="2">
        <f t="shared" si="34"/>
        <v>16640</v>
      </c>
      <c r="K74" s="2">
        <f t="shared" si="35"/>
        <v>4.6222222222222218</v>
      </c>
      <c r="L74">
        <v>1040</v>
      </c>
      <c r="M74">
        <v>1040</v>
      </c>
      <c r="N74" s="2">
        <f t="shared" si="36"/>
        <v>2080</v>
      </c>
      <c r="O74" s="2">
        <f t="shared" si="37"/>
        <v>16640</v>
      </c>
      <c r="P74" s="2">
        <f t="shared" si="38"/>
        <v>4.6222222222222218</v>
      </c>
      <c r="Q74">
        <v>960</v>
      </c>
      <c r="R74">
        <v>960</v>
      </c>
      <c r="S74" s="2">
        <f t="shared" si="39"/>
        <v>1920</v>
      </c>
      <c r="T74" s="2">
        <f t="shared" si="40"/>
        <v>15360</v>
      </c>
      <c r="U74" s="2">
        <f t="shared" si="41"/>
        <v>4.2666666666666666</v>
      </c>
      <c r="V74">
        <v>800</v>
      </c>
      <c r="W74">
        <v>800</v>
      </c>
      <c r="X74" s="2">
        <f t="shared" si="42"/>
        <v>1600</v>
      </c>
      <c r="Y74" s="2">
        <f t="shared" si="43"/>
        <v>12800</v>
      </c>
      <c r="Z74" s="2">
        <f t="shared" si="44"/>
        <v>3.5555555555555554</v>
      </c>
      <c r="AA74">
        <v>1120</v>
      </c>
      <c r="AB74">
        <v>1120</v>
      </c>
      <c r="AC74" s="2">
        <f t="shared" si="45"/>
        <v>2240</v>
      </c>
      <c r="AD74" s="2">
        <f t="shared" si="46"/>
        <v>17920</v>
      </c>
      <c r="AE74" s="2">
        <f t="shared" si="47"/>
        <v>4.9777777777777779</v>
      </c>
      <c r="AF74">
        <v>960</v>
      </c>
      <c r="AG74">
        <v>960</v>
      </c>
      <c r="AH74" s="2">
        <f t="shared" si="48"/>
        <v>1920</v>
      </c>
      <c r="AI74" s="2">
        <f t="shared" si="49"/>
        <v>15360</v>
      </c>
      <c r="AJ74" s="2">
        <f t="shared" si="50"/>
        <v>4.2666666666666666</v>
      </c>
      <c r="AK74">
        <v>960</v>
      </c>
      <c r="AL74">
        <v>960</v>
      </c>
      <c r="AM74" s="2">
        <f t="shared" si="51"/>
        <v>1920</v>
      </c>
      <c r="AN74" s="2">
        <f t="shared" si="52"/>
        <v>15360</v>
      </c>
      <c r="AO74" s="2">
        <f t="shared" si="53"/>
        <v>4.2666666666666666</v>
      </c>
      <c r="AP74">
        <v>880</v>
      </c>
      <c r="AQ74">
        <v>880</v>
      </c>
      <c r="AR74" s="2">
        <f t="shared" si="54"/>
        <v>1760</v>
      </c>
      <c r="AS74" s="2">
        <f t="shared" si="55"/>
        <v>14080</v>
      </c>
      <c r="AT74" s="2">
        <f t="shared" si="56"/>
        <v>3.911111111111111</v>
      </c>
      <c r="AU74">
        <v>1040</v>
      </c>
      <c r="AV74">
        <v>1040</v>
      </c>
      <c r="AW74" s="2">
        <f t="shared" si="57"/>
        <v>2080</v>
      </c>
      <c r="AX74" s="2">
        <f t="shared" si="58"/>
        <v>16640</v>
      </c>
      <c r="AY74" s="2">
        <f t="shared" si="59"/>
        <v>4.6222222222222218</v>
      </c>
    </row>
    <row r="75" spans="1:51" x14ac:dyDescent="0.3">
      <c r="A75" s="2" t="s">
        <v>79</v>
      </c>
      <c r="B75">
        <v>1280</v>
      </c>
      <c r="C75">
        <v>1280</v>
      </c>
      <c r="D75" s="2">
        <f t="shared" si="30"/>
        <v>2560</v>
      </c>
      <c r="E75" s="2">
        <f t="shared" si="31"/>
        <v>20480</v>
      </c>
      <c r="F75" s="2">
        <f t="shared" si="32"/>
        <v>5.6888888888888891</v>
      </c>
      <c r="G75">
        <v>1280</v>
      </c>
      <c r="H75">
        <v>1280</v>
      </c>
      <c r="I75" s="2">
        <f t="shared" si="33"/>
        <v>2560</v>
      </c>
      <c r="J75" s="2">
        <f t="shared" si="34"/>
        <v>20480</v>
      </c>
      <c r="K75" s="2">
        <f t="shared" si="35"/>
        <v>5.6888888888888891</v>
      </c>
      <c r="L75">
        <v>1120</v>
      </c>
      <c r="M75">
        <v>1120</v>
      </c>
      <c r="N75" s="2">
        <f t="shared" si="36"/>
        <v>2240</v>
      </c>
      <c r="O75" s="2">
        <f t="shared" si="37"/>
        <v>17920</v>
      </c>
      <c r="P75" s="2">
        <f t="shared" si="38"/>
        <v>4.9777777777777779</v>
      </c>
      <c r="Q75">
        <v>1040</v>
      </c>
      <c r="R75">
        <v>1040</v>
      </c>
      <c r="S75" s="2">
        <f t="shared" si="39"/>
        <v>2080</v>
      </c>
      <c r="T75" s="2">
        <f t="shared" si="40"/>
        <v>16640</v>
      </c>
      <c r="U75" s="2">
        <f t="shared" si="41"/>
        <v>4.6222222222222218</v>
      </c>
      <c r="V75">
        <v>1120</v>
      </c>
      <c r="W75">
        <v>1120</v>
      </c>
      <c r="X75" s="2">
        <f t="shared" si="42"/>
        <v>2240</v>
      </c>
      <c r="Y75" s="2">
        <f t="shared" si="43"/>
        <v>17920</v>
      </c>
      <c r="Z75" s="2">
        <f t="shared" si="44"/>
        <v>4.9777777777777779</v>
      </c>
      <c r="AA75">
        <v>1200</v>
      </c>
      <c r="AB75">
        <v>1200</v>
      </c>
      <c r="AC75" s="2">
        <f t="shared" si="45"/>
        <v>2400</v>
      </c>
      <c r="AD75" s="2">
        <f t="shared" si="46"/>
        <v>19200</v>
      </c>
      <c r="AE75" s="2">
        <f t="shared" si="47"/>
        <v>5.333333333333333</v>
      </c>
      <c r="AF75">
        <v>880</v>
      </c>
      <c r="AG75">
        <v>880</v>
      </c>
      <c r="AH75" s="2">
        <f t="shared" si="48"/>
        <v>1760</v>
      </c>
      <c r="AI75" s="2">
        <f t="shared" si="49"/>
        <v>14080</v>
      </c>
      <c r="AJ75" s="2">
        <f t="shared" si="50"/>
        <v>3.911111111111111</v>
      </c>
      <c r="AK75">
        <v>960</v>
      </c>
      <c r="AL75">
        <v>960</v>
      </c>
      <c r="AM75" s="2">
        <f t="shared" si="51"/>
        <v>1920</v>
      </c>
      <c r="AN75" s="2">
        <f t="shared" si="52"/>
        <v>15360</v>
      </c>
      <c r="AO75" s="2">
        <f t="shared" si="53"/>
        <v>4.2666666666666666</v>
      </c>
      <c r="AP75">
        <v>1120</v>
      </c>
      <c r="AQ75">
        <v>1120</v>
      </c>
      <c r="AR75" s="2">
        <f t="shared" si="54"/>
        <v>2240</v>
      </c>
      <c r="AS75" s="2">
        <f t="shared" si="55"/>
        <v>17920</v>
      </c>
      <c r="AT75" s="2">
        <f t="shared" si="56"/>
        <v>4.9777777777777779</v>
      </c>
      <c r="AU75">
        <v>1200</v>
      </c>
      <c r="AV75">
        <v>1200</v>
      </c>
      <c r="AW75" s="2">
        <f t="shared" si="57"/>
        <v>2400</v>
      </c>
      <c r="AX75" s="2">
        <f t="shared" si="58"/>
        <v>19200</v>
      </c>
      <c r="AY75" s="2">
        <f t="shared" si="59"/>
        <v>5.333333333333333</v>
      </c>
    </row>
    <row r="76" spans="1:51" x14ac:dyDescent="0.3">
      <c r="A76" s="2" t="s">
        <v>80</v>
      </c>
      <c r="B76">
        <v>960</v>
      </c>
      <c r="C76">
        <v>960</v>
      </c>
      <c r="D76" s="2">
        <f t="shared" si="30"/>
        <v>1920</v>
      </c>
      <c r="E76" s="2">
        <f t="shared" si="31"/>
        <v>15360</v>
      </c>
      <c r="F76" s="2">
        <f t="shared" si="32"/>
        <v>4.2666666666666666</v>
      </c>
      <c r="G76">
        <v>960</v>
      </c>
      <c r="H76">
        <v>960</v>
      </c>
      <c r="I76" s="2">
        <f t="shared" si="33"/>
        <v>1920</v>
      </c>
      <c r="J76" s="2">
        <f t="shared" si="34"/>
        <v>15360</v>
      </c>
      <c r="K76" s="2">
        <f t="shared" si="35"/>
        <v>4.2666666666666666</v>
      </c>
      <c r="L76">
        <v>1280</v>
      </c>
      <c r="M76">
        <v>1280</v>
      </c>
      <c r="N76" s="2">
        <f t="shared" si="36"/>
        <v>2560</v>
      </c>
      <c r="O76" s="2">
        <f t="shared" si="37"/>
        <v>20480</v>
      </c>
      <c r="P76" s="2">
        <f t="shared" si="38"/>
        <v>5.6888888888888891</v>
      </c>
      <c r="Q76">
        <v>1120</v>
      </c>
      <c r="R76">
        <v>1120</v>
      </c>
      <c r="S76" s="2">
        <f t="shared" si="39"/>
        <v>2240</v>
      </c>
      <c r="T76" s="2">
        <f t="shared" si="40"/>
        <v>17920</v>
      </c>
      <c r="U76" s="2">
        <f t="shared" si="41"/>
        <v>4.9777777777777779</v>
      </c>
      <c r="V76">
        <v>960</v>
      </c>
      <c r="W76">
        <v>960</v>
      </c>
      <c r="X76" s="2">
        <f t="shared" si="42"/>
        <v>1920</v>
      </c>
      <c r="Y76" s="2">
        <f t="shared" si="43"/>
        <v>15360</v>
      </c>
      <c r="Z76" s="2">
        <f t="shared" si="44"/>
        <v>4.2666666666666666</v>
      </c>
      <c r="AA76">
        <v>1120</v>
      </c>
      <c r="AB76">
        <v>1120</v>
      </c>
      <c r="AC76" s="2">
        <f t="shared" si="45"/>
        <v>2240</v>
      </c>
      <c r="AD76" s="2">
        <f t="shared" si="46"/>
        <v>17920</v>
      </c>
      <c r="AE76" s="2">
        <f t="shared" si="47"/>
        <v>4.9777777777777779</v>
      </c>
      <c r="AF76">
        <v>1040</v>
      </c>
      <c r="AG76">
        <v>1040</v>
      </c>
      <c r="AH76" s="2">
        <f t="shared" si="48"/>
        <v>2080</v>
      </c>
      <c r="AI76" s="2">
        <f t="shared" si="49"/>
        <v>16640</v>
      </c>
      <c r="AJ76" s="2">
        <f t="shared" si="50"/>
        <v>4.6222222222222218</v>
      </c>
      <c r="AK76">
        <v>800</v>
      </c>
      <c r="AL76">
        <v>800</v>
      </c>
      <c r="AM76" s="2">
        <f t="shared" si="51"/>
        <v>1600</v>
      </c>
      <c r="AN76" s="2">
        <f t="shared" si="52"/>
        <v>12800</v>
      </c>
      <c r="AO76" s="2">
        <f t="shared" si="53"/>
        <v>3.5555555555555554</v>
      </c>
      <c r="AP76">
        <v>1200</v>
      </c>
      <c r="AQ76">
        <v>1200</v>
      </c>
      <c r="AR76" s="2">
        <f t="shared" si="54"/>
        <v>2400</v>
      </c>
      <c r="AS76" s="2">
        <f t="shared" si="55"/>
        <v>19200</v>
      </c>
      <c r="AT76" s="2">
        <f t="shared" si="56"/>
        <v>5.333333333333333</v>
      </c>
      <c r="AU76">
        <v>1120</v>
      </c>
      <c r="AV76">
        <v>1120</v>
      </c>
      <c r="AW76" s="2">
        <f t="shared" si="57"/>
        <v>2240</v>
      </c>
      <c r="AX76" s="2">
        <f t="shared" si="58"/>
        <v>17920</v>
      </c>
      <c r="AY76" s="2">
        <f t="shared" si="59"/>
        <v>4.9777777777777779</v>
      </c>
    </row>
    <row r="77" spans="1:51" x14ac:dyDescent="0.3">
      <c r="A77" s="2" t="s">
        <v>81</v>
      </c>
      <c r="B77">
        <v>1040</v>
      </c>
      <c r="C77">
        <v>1040</v>
      </c>
      <c r="D77" s="2">
        <f t="shared" si="30"/>
        <v>2080</v>
      </c>
      <c r="E77" s="2">
        <f t="shared" si="31"/>
        <v>16640</v>
      </c>
      <c r="F77" s="2">
        <f t="shared" si="32"/>
        <v>4.6222222222222218</v>
      </c>
      <c r="G77">
        <v>1200</v>
      </c>
      <c r="H77">
        <v>1200</v>
      </c>
      <c r="I77" s="2">
        <f t="shared" si="33"/>
        <v>2400</v>
      </c>
      <c r="J77" s="2">
        <f t="shared" si="34"/>
        <v>19200</v>
      </c>
      <c r="K77" s="2">
        <f t="shared" si="35"/>
        <v>5.333333333333333</v>
      </c>
      <c r="L77">
        <v>1040</v>
      </c>
      <c r="M77">
        <v>1040</v>
      </c>
      <c r="N77" s="2">
        <f t="shared" si="36"/>
        <v>2080</v>
      </c>
      <c r="O77" s="2">
        <f t="shared" si="37"/>
        <v>16640</v>
      </c>
      <c r="P77" s="2">
        <f t="shared" si="38"/>
        <v>4.6222222222222218</v>
      </c>
      <c r="Q77">
        <v>1120</v>
      </c>
      <c r="R77">
        <v>1120</v>
      </c>
      <c r="S77" s="2">
        <f t="shared" si="39"/>
        <v>2240</v>
      </c>
      <c r="T77" s="2">
        <f t="shared" si="40"/>
        <v>17920</v>
      </c>
      <c r="U77" s="2">
        <f t="shared" si="41"/>
        <v>4.9777777777777779</v>
      </c>
      <c r="V77">
        <v>960</v>
      </c>
      <c r="W77">
        <v>960</v>
      </c>
      <c r="X77" s="2">
        <f t="shared" si="42"/>
        <v>1920</v>
      </c>
      <c r="Y77" s="2">
        <f t="shared" si="43"/>
        <v>15360</v>
      </c>
      <c r="Z77" s="2">
        <f t="shared" si="44"/>
        <v>4.2666666666666666</v>
      </c>
      <c r="AA77">
        <v>1040</v>
      </c>
      <c r="AB77">
        <v>1040</v>
      </c>
      <c r="AC77" s="2">
        <f t="shared" si="45"/>
        <v>2080</v>
      </c>
      <c r="AD77" s="2">
        <f t="shared" si="46"/>
        <v>16640</v>
      </c>
      <c r="AE77" s="2">
        <f t="shared" si="47"/>
        <v>4.6222222222222218</v>
      </c>
      <c r="AF77">
        <v>960</v>
      </c>
      <c r="AG77">
        <v>960</v>
      </c>
      <c r="AH77" s="2">
        <f t="shared" si="48"/>
        <v>1920</v>
      </c>
      <c r="AI77" s="2">
        <f t="shared" si="49"/>
        <v>15360</v>
      </c>
      <c r="AJ77" s="2">
        <f t="shared" si="50"/>
        <v>4.2666666666666666</v>
      </c>
      <c r="AK77">
        <v>960</v>
      </c>
      <c r="AL77">
        <v>960</v>
      </c>
      <c r="AM77" s="2">
        <f t="shared" si="51"/>
        <v>1920</v>
      </c>
      <c r="AN77" s="2">
        <f t="shared" si="52"/>
        <v>15360</v>
      </c>
      <c r="AO77" s="2">
        <f t="shared" si="53"/>
        <v>4.2666666666666666</v>
      </c>
      <c r="AP77">
        <v>880</v>
      </c>
      <c r="AQ77">
        <v>880</v>
      </c>
      <c r="AR77" s="2">
        <f t="shared" si="54"/>
        <v>1760</v>
      </c>
      <c r="AS77" s="2">
        <f t="shared" si="55"/>
        <v>14080</v>
      </c>
      <c r="AT77" s="2">
        <f t="shared" si="56"/>
        <v>3.911111111111111</v>
      </c>
      <c r="AU77">
        <v>1040</v>
      </c>
      <c r="AV77">
        <v>1040</v>
      </c>
      <c r="AW77" s="2">
        <f t="shared" si="57"/>
        <v>2080</v>
      </c>
      <c r="AX77" s="2">
        <f t="shared" si="58"/>
        <v>16640</v>
      </c>
      <c r="AY77" s="2">
        <f t="shared" si="59"/>
        <v>4.6222222222222218</v>
      </c>
    </row>
    <row r="78" spans="1:51" x14ac:dyDescent="0.3">
      <c r="A78" s="2" t="s">
        <v>82</v>
      </c>
      <c r="B78">
        <v>1120</v>
      </c>
      <c r="C78">
        <v>1120</v>
      </c>
      <c r="D78" s="2">
        <f t="shared" si="30"/>
        <v>2240</v>
      </c>
      <c r="E78" s="2">
        <f t="shared" si="31"/>
        <v>17920</v>
      </c>
      <c r="F78" s="2">
        <f t="shared" si="32"/>
        <v>4.9777777777777779</v>
      </c>
      <c r="G78">
        <v>1280</v>
      </c>
      <c r="H78">
        <v>1280</v>
      </c>
      <c r="I78" s="2">
        <f t="shared" si="33"/>
        <v>2560</v>
      </c>
      <c r="J78" s="2">
        <f t="shared" si="34"/>
        <v>20480</v>
      </c>
      <c r="K78" s="2">
        <f t="shared" si="35"/>
        <v>5.6888888888888891</v>
      </c>
      <c r="L78">
        <v>880</v>
      </c>
      <c r="M78">
        <v>880</v>
      </c>
      <c r="N78" s="2">
        <f t="shared" si="36"/>
        <v>1760</v>
      </c>
      <c r="O78" s="2">
        <f t="shared" si="37"/>
        <v>14080</v>
      </c>
      <c r="P78" s="2">
        <f t="shared" si="38"/>
        <v>3.911111111111111</v>
      </c>
      <c r="Q78">
        <v>1040</v>
      </c>
      <c r="R78">
        <v>1040</v>
      </c>
      <c r="S78" s="2">
        <f t="shared" si="39"/>
        <v>2080</v>
      </c>
      <c r="T78" s="2">
        <f t="shared" si="40"/>
        <v>16640</v>
      </c>
      <c r="U78" s="2">
        <f t="shared" si="41"/>
        <v>4.6222222222222218</v>
      </c>
      <c r="V78">
        <v>1200</v>
      </c>
      <c r="W78">
        <v>1200</v>
      </c>
      <c r="X78" s="2">
        <f t="shared" si="42"/>
        <v>2400</v>
      </c>
      <c r="Y78" s="2">
        <f t="shared" si="43"/>
        <v>19200</v>
      </c>
      <c r="Z78" s="2">
        <f t="shared" si="44"/>
        <v>5.333333333333333</v>
      </c>
      <c r="AA78">
        <v>960</v>
      </c>
      <c r="AB78">
        <v>960</v>
      </c>
      <c r="AC78" s="2">
        <f t="shared" si="45"/>
        <v>1920</v>
      </c>
      <c r="AD78" s="2">
        <f t="shared" si="46"/>
        <v>15360</v>
      </c>
      <c r="AE78" s="2">
        <f t="shared" si="47"/>
        <v>4.2666666666666666</v>
      </c>
      <c r="AF78">
        <v>1200</v>
      </c>
      <c r="AG78">
        <v>1200</v>
      </c>
      <c r="AH78" s="2">
        <f t="shared" si="48"/>
        <v>2400</v>
      </c>
      <c r="AI78" s="2">
        <f t="shared" si="49"/>
        <v>19200</v>
      </c>
      <c r="AJ78" s="2">
        <f t="shared" si="50"/>
        <v>5.333333333333333</v>
      </c>
      <c r="AK78">
        <v>960</v>
      </c>
      <c r="AL78">
        <v>960</v>
      </c>
      <c r="AM78" s="2">
        <f t="shared" si="51"/>
        <v>1920</v>
      </c>
      <c r="AN78" s="2">
        <f t="shared" si="52"/>
        <v>15360</v>
      </c>
      <c r="AO78" s="2">
        <f t="shared" si="53"/>
        <v>4.2666666666666666</v>
      </c>
      <c r="AP78">
        <v>1120</v>
      </c>
      <c r="AQ78">
        <v>1120</v>
      </c>
      <c r="AR78" s="2">
        <f t="shared" si="54"/>
        <v>2240</v>
      </c>
      <c r="AS78" s="2">
        <f t="shared" si="55"/>
        <v>17920</v>
      </c>
      <c r="AT78" s="2">
        <f t="shared" si="56"/>
        <v>4.9777777777777779</v>
      </c>
      <c r="AU78">
        <v>1120</v>
      </c>
      <c r="AV78">
        <v>1120</v>
      </c>
      <c r="AW78" s="2">
        <f t="shared" si="57"/>
        <v>2240</v>
      </c>
      <c r="AX78" s="2">
        <f t="shared" si="58"/>
        <v>17920</v>
      </c>
      <c r="AY78" s="2">
        <f t="shared" si="59"/>
        <v>4.9777777777777779</v>
      </c>
    </row>
    <row r="79" spans="1:51" x14ac:dyDescent="0.3">
      <c r="A79" s="2" t="s">
        <v>83</v>
      </c>
      <c r="B79">
        <v>1120</v>
      </c>
      <c r="C79">
        <v>1120</v>
      </c>
      <c r="D79" s="2">
        <f t="shared" si="30"/>
        <v>2240</v>
      </c>
      <c r="E79" s="2">
        <f t="shared" si="31"/>
        <v>17920</v>
      </c>
      <c r="F79" s="2">
        <f t="shared" si="32"/>
        <v>4.9777777777777779</v>
      </c>
      <c r="G79">
        <v>880</v>
      </c>
      <c r="H79">
        <v>880</v>
      </c>
      <c r="I79" s="2">
        <f t="shared" si="33"/>
        <v>1760</v>
      </c>
      <c r="J79" s="2">
        <f t="shared" si="34"/>
        <v>14080</v>
      </c>
      <c r="K79" s="2">
        <f t="shared" si="35"/>
        <v>3.911111111111111</v>
      </c>
      <c r="L79">
        <v>1120</v>
      </c>
      <c r="M79">
        <v>1120</v>
      </c>
      <c r="N79" s="2">
        <f t="shared" si="36"/>
        <v>2240</v>
      </c>
      <c r="O79" s="2">
        <f t="shared" si="37"/>
        <v>17920</v>
      </c>
      <c r="P79" s="2">
        <f t="shared" si="38"/>
        <v>4.9777777777777779</v>
      </c>
      <c r="Q79">
        <v>1040</v>
      </c>
      <c r="R79">
        <v>1040</v>
      </c>
      <c r="S79" s="2">
        <f t="shared" si="39"/>
        <v>2080</v>
      </c>
      <c r="T79" s="2">
        <f t="shared" si="40"/>
        <v>16640</v>
      </c>
      <c r="U79" s="2">
        <f t="shared" si="41"/>
        <v>4.6222222222222218</v>
      </c>
      <c r="V79">
        <v>960</v>
      </c>
      <c r="W79">
        <v>960</v>
      </c>
      <c r="X79" s="2">
        <f t="shared" si="42"/>
        <v>1920</v>
      </c>
      <c r="Y79" s="2">
        <f t="shared" si="43"/>
        <v>15360</v>
      </c>
      <c r="Z79" s="2">
        <f t="shared" si="44"/>
        <v>4.2666666666666666</v>
      </c>
      <c r="AA79">
        <v>1200</v>
      </c>
      <c r="AB79">
        <v>1200</v>
      </c>
      <c r="AC79" s="2">
        <f t="shared" si="45"/>
        <v>2400</v>
      </c>
      <c r="AD79" s="2">
        <f t="shared" si="46"/>
        <v>19200</v>
      </c>
      <c r="AE79" s="2">
        <f t="shared" si="47"/>
        <v>5.333333333333333</v>
      </c>
      <c r="AF79">
        <v>960</v>
      </c>
      <c r="AG79">
        <v>960</v>
      </c>
      <c r="AH79" s="2">
        <f t="shared" si="48"/>
        <v>1920</v>
      </c>
      <c r="AI79" s="2">
        <f t="shared" si="49"/>
        <v>15360</v>
      </c>
      <c r="AJ79" s="2">
        <f t="shared" si="50"/>
        <v>4.2666666666666666</v>
      </c>
      <c r="AK79">
        <v>1200</v>
      </c>
      <c r="AL79">
        <v>1200</v>
      </c>
      <c r="AM79" s="2">
        <f t="shared" si="51"/>
        <v>2400</v>
      </c>
      <c r="AN79" s="2">
        <f t="shared" si="52"/>
        <v>19200</v>
      </c>
      <c r="AO79" s="2">
        <f t="shared" si="53"/>
        <v>5.333333333333333</v>
      </c>
      <c r="AP79">
        <v>1200</v>
      </c>
      <c r="AQ79">
        <v>1200</v>
      </c>
      <c r="AR79" s="2">
        <f t="shared" si="54"/>
        <v>2400</v>
      </c>
      <c r="AS79" s="2">
        <f t="shared" si="55"/>
        <v>19200</v>
      </c>
      <c r="AT79" s="2">
        <f t="shared" si="56"/>
        <v>5.333333333333333</v>
      </c>
      <c r="AU79">
        <v>1040</v>
      </c>
      <c r="AV79">
        <v>1040</v>
      </c>
      <c r="AW79" s="2">
        <f t="shared" si="57"/>
        <v>2080</v>
      </c>
      <c r="AX79" s="2">
        <f t="shared" si="58"/>
        <v>16640</v>
      </c>
      <c r="AY79" s="2">
        <f t="shared" si="59"/>
        <v>4.6222222222222218</v>
      </c>
    </row>
    <row r="80" spans="1:51" x14ac:dyDescent="0.3">
      <c r="A80" s="2" t="s">
        <v>84</v>
      </c>
      <c r="B80">
        <v>1200</v>
      </c>
      <c r="C80">
        <v>1200</v>
      </c>
      <c r="D80" s="2">
        <f t="shared" si="30"/>
        <v>2400</v>
      </c>
      <c r="E80" s="2">
        <f t="shared" si="31"/>
        <v>19200</v>
      </c>
      <c r="F80" s="2">
        <f t="shared" si="32"/>
        <v>5.333333333333333</v>
      </c>
      <c r="G80">
        <v>1120</v>
      </c>
      <c r="H80">
        <v>1120</v>
      </c>
      <c r="I80" s="2">
        <f t="shared" si="33"/>
        <v>2240</v>
      </c>
      <c r="J80" s="2">
        <f t="shared" si="34"/>
        <v>17920</v>
      </c>
      <c r="K80" s="2">
        <f t="shared" si="35"/>
        <v>4.9777777777777779</v>
      </c>
      <c r="L80">
        <v>1040</v>
      </c>
      <c r="M80">
        <v>1040</v>
      </c>
      <c r="N80" s="2">
        <f t="shared" si="36"/>
        <v>2080</v>
      </c>
      <c r="O80" s="2">
        <f t="shared" si="37"/>
        <v>16640</v>
      </c>
      <c r="P80" s="2">
        <f t="shared" si="38"/>
        <v>4.6222222222222218</v>
      </c>
      <c r="Q80">
        <v>960</v>
      </c>
      <c r="R80">
        <v>960</v>
      </c>
      <c r="S80" s="2">
        <f t="shared" si="39"/>
        <v>1920</v>
      </c>
      <c r="T80" s="2">
        <f t="shared" si="40"/>
        <v>15360</v>
      </c>
      <c r="U80" s="2">
        <f t="shared" si="41"/>
        <v>4.2666666666666666</v>
      </c>
      <c r="V80">
        <v>1200</v>
      </c>
      <c r="W80">
        <v>1200</v>
      </c>
      <c r="X80" s="2">
        <f t="shared" si="42"/>
        <v>2400</v>
      </c>
      <c r="Y80" s="2">
        <f t="shared" si="43"/>
        <v>19200</v>
      </c>
      <c r="Z80" s="2">
        <f t="shared" si="44"/>
        <v>5.333333333333333</v>
      </c>
      <c r="AA80">
        <v>1120</v>
      </c>
      <c r="AB80">
        <v>1120</v>
      </c>
      <c r="AC80" s="2">
        <f t="shared" si="45"/>
        <v>2240</v>
      </c>
      <c r="AD80" s="2">
        <f t="shared" si="46"/>
        <v>17920</v>
      </c>
      <c r="AE80" s="2">
        <f t="shared" si="47"/>
        <v>4.9777777777777779</v>
      </c>
      <c r="AF80">
        <v>1360</v>
      </c>
      <c r="AG80">
        <v>1360</v>
      </c>
      <c r="AH80" s="2">
        <f t="shared" si="48"/>
        <v>2720</v>
      </c>
      <c r="AI80" s="2">
        <f t="shared" si="49"/>
        <v>21760</v>
      </c>
      <c r="AJ80" s="2">
        <f t="shared" si="50"/>
        <v>6.0444444444444443</v>
      </c>
      <c r="AK80">
        <v>1040</v>
      </c>
      <c r="AL80">
        <v>1040</v>
      </c>
      <c r="AM80" s="2">
        <f t="shared" si="51"/>
        <v>2080</v>
      </c>
      <c r="AN80" s="2">
        <f t="shared" si="52"/>
        <v>16640</v>
      </c>
      <c r="AO80" s="2">
        <f t="shared" si="53"/>
        <v>4.6222222222222218</v>
      </c>
      <c r="AP80">
        <v>880</v>
      </c>
      <c r="AQ80">
        <v>880</v>
      </c>
      <c r="AR80" s="2">
        <f t="shared" si="54"/>
        <v>1760</v>
      </c>
      <c r="AS80" s="2">
        <f t="shared" si="55"/>
        <v>14080</v>
      </c>
      <c r="AT80" s="2">
        <f t="shared" si="56"/>
        <v>3.911111111111111</v>
      </c>
      <c r="AU80">
        <v>1200</v>
      </c>
      <c r="AV80">
        <v>1200</v>
      </c>
      <c r="AW80" s="2">
        <f t="shared" si="57"/>
        <v>2400</v>
      </c>
      <c r="AX80" s="2">
        <f t="shared" si="58"/>
        <v>19200</v>
      </c>
      <c r="AY80" s="2">
        <f t="shared" si="59"/>
        <v>5.333333333333333</v>
      </c>
    </row>
    <row r="81" spans="1:51" x14ac:dyDescent="0.3">
      <c r="A81" s="2" t="s">
        <v>85</v>
      </c>
      <c r="B81">
        <v>1040</v>
      </c>
      <c r="C81">
        <v>1040</v>
      </c>
      <c r="D81" s="2">
        <f t="shared" si="30"/>
        <v>2080</v>
      </c>
      <c r="E81" s="2">
        <f t="shared" si="31"/>
        <v>16640</v>
      </c>
      <c r="F81" s="2">
        <f t="shared" si="32"/>
        <v>4.6222222222222218</v>
      </c>
      <c r="G81">
        <v>1120</v>
      </c>
      <c r="H81">
        <v>1120</v>
      </c>
      <c r="I81" s="2">
        <f t="shared" si="33"/>
        <v>2240</v>
      </c>
      <c r="J81" s="2">
        <f t="shared" si="34"/>
        <v>17920</v>
      </c>
      <c r="K81" s="2">
        <f t="shared" si="35"/>
        <v>4.9777777777777779</v>
      </c>
      <c r="L81">
        <v>880</v>
      </c>
      <c r="M81">
        <v>880</v>
      </c>
      <c r="N81" s="2">
        <f t="shared" si="36"/>
        <v>1760</v>
      </c>
      <c r="O81" s="2">
        <f t="shared" si="37"/>
        <v>14080</v>
      </c>
      <c r="P81" s="2">
        <f t="shared" si="38"/>
        <v>3.911111111111111</v>
      </c>
      <c r="Q81">
        <v>1120</v>
      </c>
      <c r="R81">
        <v>1120</v>
      </c>
      <c r="S81" s="2">
        <f t="shared" si="39"/>
        <v>2240</v>
      </c>
      <c r="T81" s="2">
        <f t="shared" si="40"/>
        <v>17920</v>
      </c>
      <c r="U81" s="2">
        <f t="shared" si="41"/>
        <v>4.9777777777777779</v>
      </c>
      <c r="V81">
        <v>1040</v>
      </c>
      <c r="W81">
        <v>1040</v>
      </c>
      <c r="X81" s="2">
        <f t="shared" si="42"/>
        <v>2080</v>
      </c>
      <c r="Y81" s="2">
        <f t="shared" si="43"/>
        <v>16640</v>
      </c>
      <c r="Z81" s="2">
        <f t="shared" si="44"/>
        <v>4.6222222222222218</v>
      </c>
      <c r="AA81">
        <v>1040</v>
      </c>
      <c r="AB81">
        <v>1040</v>
      </c>
      <c r="AC81" s="2">
        <f t="shared" si="45"/>
        <v>2080</v>
      </c>
      <c r="AD81" s="2">
        <f t="shared" si="46"/>
        <v>16640</v>
      </c>
      <c r="AE81" s="2">
        <f t="shared" si="47"/>
        <v>4.6222222222222218</v>
      </c>
      <c r="AF81">
        <v>1040</v>
      </c>
      <c r="AG81">
        <v>1040</v>
      </c>
      <c r="AH81" s="2">
        <f t="shared" si="48"/>
        <v>2080</v>
      </c>
      <c r="AI81" s="2">
        <f t="shared" si="49"/>
        <v>16640</v>
      </c>
      <c r="AJ81" s="2">
        <f t="shared" si="50"/>
        <v>4.6222222222222218</v>
      </c>
      <c r="AK81">
        <v>960</v>
      </c>
      <c r="AL81">
        <v>960</v>
      </c>
      <c r="AM81" s="2">
        <f t="shared" si="51"/>
        <v>1920</v>
      </c>
      <c r="AN81" s="2">
        <f t="shared" si="52"/>
        <v>15360</v>
      </c>
      <c r="AO81" s="2">
        <f t="shared" si="53"/>
        <v>4.2666666666666666</v>
      </c>
      <c r="AP81">
        <v>1120</v>
      </c>
      <c r="AQ81">
        <v>1120</v>
      </c>
      <c r="AR81" s="2">
        <f t="shared" si="54"/>
        <v>2240</v>
      </c>
      <c r="AS81" s="2">
        <f t="shared" si="55"/>
        <v>17920</v>
      </c>
      <c r="AT81" s="2">
        <f t="shared" si="56"/>
        <v>4.9777777777777779</v>
      </c>
      <c r="AU81">
        <v>1200</v>
      </c>
      <c r="AV81">
        <v>1200</v>
      </c>
      <c r="AW81" s="2">
        <f t="shared" si="57"/>
        <v>2400</v>
      </c>
      <c r="AX81" s="2">
        <f t="shared" si="58"/>
        <v>19200</v>
      </c>
      <c r="AY81" s="2">
        <f t="shared" si="59"/>
        <v>5.333333333333333</v>
      </c>
    </row>
    <row r="82" spans="1:51" x14ac:dyDescent="0.3">
      <c r="A82" s="2" t="s">
        <v>86</v>
      </c>
      <c r="B82">
        <v>1120</v>
      </c>
      <c r="C82">
        <v>1120</v>
      </c>
      <c r="D82" s="2">
        <f t="shared" si="30"/>
        <v>2240</v>
      </c>
      <c r="E82" s="2">
        <f t="shared" si="31"/>
        <v>17920</v>
      </c>
      <c r="F82" s="2">
        <f t="shared" si="32"/>
        <v>4.9777777777777779</v>
      </c>
      <c r="G82">
        <v>800</v>
      </c>
      <c r="H82">
        <v>800</v>
      </c>
      <c r="I82" s="2">
        <f t="shared" si="33"/>
        <v>1600</v>
      </c>
      <c r="J82" s="2">
        <f t="shared" si="34"/>
        <v>12800</v>
      </c>
      <c r="K82" s="2">
        <f t="shared" si="35"/>
        <v>3.5555555555555554</v>
      </c>
      <c r="L82">
        <v>1120</v>
      </c>
      <c r="M82">
        <v>1120</v>
      </c>
      <c r="N82" s="2">
        <f t="shared" si="36"/>
        <v>2240</v>
      </c>
      <c r="O82" s="2">
        <f t="shared" si="37"/>
        <v>17920</v>
      </c>
      <c r="P82" s="2">
        <f t="shared" si="38"/>
        <v>4.9777777777777779</v>
      </c>
      <c r="Q82">
        <v>1040</v>
      </c>
      <c r="R82">
        <v>1040</v>
      </c>
      <c r="S82" s="2">
        <f t="shared" si="39"/>
        <v>2080</v>
      </c>
      <c r="T82" s="2">
        <f t="shared" si="40"/>
        <v>16640</v>
      </c>
      <c r="U82" s="2">
        <f t="shared" si="41"/>
        <v>4.6222222222222218</v>
      </c>
      <c r="V82">
        <v>1120</v>
      </c>
      <c r="W82">
        <v>1120</v>
      </c>
      <c r="X82" s="2">
        <f t="shared" si="42"/>
        <v>2240</v>
      </c>
      <c r="Y82" s="2">
        <f t="shared" si="43"/>
        <v>17920</v>
      </c>
      <c r="Z82" s="2">
        <f t="shared" si="44"/>
        <v>4.9777777777777779</v>
      </c>
      <c r="AA82">
        <v>1120</v>
      </c>
      <c r="AB82">
        <v>1120</v>
      </c>
      <c r="AC82" s="2">
        <f t="shared" si="45"/>
        <v>2240</v>
      </c>
      <c r="AD82" s="2">
        <f t="shared" si="46"/>
        <v>17920</v>
      </c>
      <c r="AE82" s="2">
        <f t="shared" si="47"/>
        <v>4.9777777777777779</v>
      </c>
      <c r="AF82">
        <v>1120</v>
      </c>
      <c r="AG82">
        <v>1120</v>
      </c>
      <c r="AH82" s="2">
        <f t="shared" si="48"/>
        <v>2240</v>
      </c>
      <c r="AI82" s="2">
        <f t="shared" si="49"/>
        <v>17920</v>
      </c>
      <c r="AJ82" s="2">
        <f t="shared" si="50"/>
        <v>4.9777777777777779</v>
      </c>
      <c r="AK82">
        <v>1040</v>
      </c>
      <c r="AL82">
        <v>1040</v>
      </c>
      <c r="AM82" s="2">
        <f t="shared" si="51"/>
        <v>2080</v>
      </c>
      <c r="AN82" s="2">
        <f t="shared" si="52"/>
        <v>16640</v>
      </c>
      <c r="AO82" s="2">
        <f t="shared" si="53"/>
        <v>4.6222222222222218</v>
      </c>
      <c r="AP82">
        <v>1040</v>
      </c>
      <c r="AQ82">
        <v>1040</v>
      </c>
      <c r="AR82" s="2">
        <f t="shared" si="54"/>
        <v>2080</v>
      </c>
      <c r="AS82" s="2">
        <f t="shared" si="55"/>
        <v>16640</v>
      </c>
      <c r="AT82" s="2">
        <f t="shared" si="56"/>
        <v>4.6222222222222218</v>
      </c>
      <c r="AU82">
        <v>1120</v>
      </c>
      <c r="AV82">
        <v>1120</v>
      </c>
      <c r="AW82" s="2">
        <f t="shared" si="57"/>
        <v>2240</v>
      </c>
      <c r="AX82" s="2">
        <f t="shared" si="58"/>
        <v>17920</v>
      </c>
      <c r="AY82" s="2">
        <f t="shared" si="59"/>
        <v>4.9777777777777779</v>
      </c>
    </row>
    <row r="83" spans="1:51" x14ac:dyDescent="0.3">
      <c r="A83" s="2" t="s">
        <v>87</v>
      </c>
      <c r="B83">
        <v>1200</v>
      </c>
      <c r="C83">
        <v>1200</v>
      </c>
      <c r="D83" s="2">
        <f t="shared" si="30"/>
        <v>2400</v>
      </c>
      <c r="E83" s="2">
        <f t="shared" si="31"/>
        <v>19200</v>
      </c>
      <c r="F83" s="2">
        <f t="shared" si="32"/>
        <v>5.333333333333333</v>
      </c>
      <c r="G83">
        <v>960</v>
      </c>
      <c r="H83">
        <v>960</v>
      </c>
      <c r="I83" s="2">
        <f t="shared" si="33"/>
        <v>1920</v>
      </c>
      <c r="J83" s="2">
        <f t="shared" si="34"/>
        <v>15360</v>
      </c>
      <c r="K83" s="2">
        <f t="shared" si="35"/>
        <v>4.2666666666666666</v>
      </c>
      <c r="L83">
        <v>1040</v>
      </c>
      <c r="M83">
        <v>1040</v>
      </c>
      <c r="N83" s="2">
        <f t="shared" si="36"/>
        <v>2080</v>
      </c>
      <c r="O83" s="2">
        <f t="shared" si="37"/>
        <v>16640</v>
      </c>
      <c r="P83" s="2">
        <f t="shared" si="38"/>
        <v>4.6222222222222218</v>
      </c>
      <c r="Q83">
        <v>1200</v>
      </c>
      <c r="R83">
        <v>1200</v>
      </c>
      <c r="S83" s="2">
        <f t="shared" si="39"/>
        <v>2400</v>
      </c>
      <c r="T83" s="2">
        <f t="shared" si="40"/>
        <v>19200</v>
      </c>
      <c r="U83" s="2">
        <f t="shared" si="41"/>
        <v>5.333333333333333</v>
      </c>
      <c r="V83">
        <v>1120</v>
      </c>
      <c r="W83">
        <v>1120</v>
      </c>
      <c r="X83" s="2">
        <f t="shared" si="42"/>
        <v>2240</v>
      </c>
      <c r="Y83" s="2">
        <f t="shared" si="43"/>
        <v>17920</v>
      </c>
      <c r="Z83" s="2">
        <f t="shared" si="44"/>
        <v>4.9777777777777779</v>
      </c>
      <c r="AA83">
        <v>1040</v>
      </c>
      <c r="AB83">
        <v>1040</v>
      </c>
      <c r="AC83" s="2">
        <f t="shared" si="45"/>
        <v>2080</v>
      </c>
      <c r="AD83" s="2">
        <f t="shared" si="46"/>
        <v>16640</v>
      </c>
      <c r="AE83" s="2">
        <f t="shared" si="47"/>
        <v>4.6222222222222218</v>
      </c>
      <c r="AF83">
        <v>800</v>
      </c>
      <c r="AG83">
        <v>800</v>
      </c>
      <c r="AH83" s="2">
        <f t="shared" si="48"/>
        <v>1600</v>
      </c>
      <c r="AI83" s="2">
        <f t="shared" si="49"/>
        <v>12800</v>
      </c>
      <c r="AJ83" s="2">
        <f t="shared" si="50"/>
        <v>3.5555555555555554</v>
      </c>
      <c r="AK83">
        <v>960</v>
      </c>
      <c r="AL83">
        <v>960</v>
      </c>
      <c r="AM83" s="2">
        <f t="shared" si="51"/>
        <v>1920</v>
      </c>
      <c r="AN83" s="2">
        <f t="shared" si="52"/>
        <v>15360</v>
      </c>
      <c r="AO83" s="2">
        <f t="shared" si="53"/>
        <v>4.2666666666666666</v>
      </c>
      <c r="AP83">
        <v>960</v>
      </c>
      <c r="AQ83">
        <v>960</v>
      </c>
      <c r="AR83" s="2">
        <f t="shared" si="54"/>
        <v>1920</v>
      </c>
      <c r="AS83" s="2">
        <f t="shared" si="55"/>
        <v>15360</v>
      </c>
      <c r="AT83" s="2">
        <f t="shared" si="56"/>
        <v>4.2666666666666666</v>
      </c>
      <c r="AU83">
        <v>1200</v>
      </c>
      <c r="AV83">
        <v>1200</v>
      </c>
      <c r="AW83" s="2">
        <f t="shared" si="57"/>
        <v>2400</v>
      </c>
      <c r="AX83" s="2">
        <f t="shared" si="58"/>
        <v>19200</v>
      </c>
      <c r="AY83" s="2">
        <f t="shared" si="59"/>
        <v>5.333333333333333</v>
      </c>
    </row>
    <row r="84" spans="1:51" x14ac:dyDescent="0.3">
      <c r="A84" s="2" t="s">
        <v>88</v>
      </c>
      <c r="B84">
        <v>1200</v>
      </c>
      <c r="C84">
        <v>1200</v>
      </c>
      <c r="D84" s="2">
        <f t="shared" si="30"/>
        <v>2400</v>
      </c>
      <c r="E84" s="2">
        <f t="shared" si="31"/>
        <v>19200</v>
      </c>
      <c r="F84" s="2">
        <f t="shared" si="32"/>
        <v>5.333333333333333</v>
      </c>
      <c r="G84">
        <v>1200</v>
      </c>
      <c r="H84">
        <v>1200</v>
      </c>
      <c r="I84" s="2">
        <f t="shared" si="33"/>
        <v>2400</v>
      </c>
      <c r="J84" s="2">
        <f t="shared" si="34"/>
        <v>19200</v>
      </c>
      <c r="K84" s="2">
        <f t="shared" si="35"/>
        <v>5.333333333333333</v>
      </c>
      <c r="L84">
        <v>960</v>
      </c>
      <c r="M84">
        <v>960</v>
      </c>
      <c r="N84" s="2">
        <f t="shared" si="36"/>
        <v>1920</v>
      </c>
      <c r="O84" s="2">
        <f t="shared" si="37"/>
        <v>15360</v>
      </c>
      <c r="P84" s="2">
        <f t="shared" si="38"/>
        <v>4.2666666666666666</v>
      </c>
      <c r="Q84">
        <v>1200</v>
      </c>
      <c r="R84">
        <v>1200</v>
      </c>
      <c r="S84" s="2">
        <f t="shared" si="39"/>
        <v>2400</v>
      </c>
      <c r="T84" s="2">
        <f t="shared" si="40"/>
        <v>19200</v>
      </c>
      <c r="U84" s="2">
        <f t="shared" si="41"/>
        <v>5.333333333333333</v>
      </c>
      <c r="V84">
        <v>1280</v>
      </c>
      <c r="W84">
        <v>1280</v>
      </c>
      <c r="X84" s="2">
        <f t="shared" si="42"/>
        <v>2560</v>
      </c>
      <c r="Y84" s="2">
        <f t="shared" si="43"/>
        <v>20480</v>
      </c>
      <c r="Z84" s="2">
        <f t="shared" si="44"/>
        <v>5.6888888888888891</v>
      </c>
      <c r="AA84">
        <v>1200</v>
      </c>
      <c r="AB84">
        <v>1200</v>
      </c>
      <c r="AC84" s="2">
        <f t="shared" si="45"/>
        <v>2400</v>
      </c>
      <c r="AD84" s="2">
        <f t="shared" si="46"/>
        <v>19200</v>
      </c>
      <c r="AE84" s="2">
        <f t="shared" si="47"/>
        <v>5.333333333333333</v>
      </c>
      <c r="AF84">
        <v>960</v>
      </c>
      <c r="AG84">
        <v>960</v>
      </c>
      <c r="AH84" s="2">
        <f t="shared" si="48"/>
        <v>1920</v>
      </c>
      <c r="AI84" s="2">
        <f t="shared" si="49"/>
        <v>15360</v>
      </c>
      <c r="AJ84" s="2">
        <f t="shared" si="50"/>
        <v>4.2666666666666666</v>
      </c>
      <c r="AK84">
        <v>960</v>
      </c>
      <c r="AL84">
        <v>960</v>
      </c>
      <c r="AM84" s="2">
        <f t="shared" si="51"/>
        <v>1920</v>
      </c>
      <c r="AN84" s="2">
        <f t="shared" si="52"/>
        <v>15360</v>
      </c>
      <c r="AO84" s="2">
        <f t="shared" si="53"/>
        <v>4.2666666666666666</v>
      </c>
      <c r="AP84">
        <v>1120</v>
      </c>
      <c r="AQ84">
        <v>1120</v>
      </c>
      <c r="AR84" s="2">
        <f t="shared" si="54"/>
        <v>2240</v>
      </c>
      <c r="AS84" s="2">
        <f t="shared" si="55"/>
        <v>17920</v>
      </c>
      <c r="AT84" s="2">
        <f t="shared" si="56"/>
        <v>4.9777777777777779</v>
      </c>
      <c r="AU84">
        <v>1040</v>
      </c>
      <c r="AV84">
        <v>1040</v>
      </c>
      <c r="AW84" s="2">
        <f t="shared" si="57"/>
        <v>2080</v>
      </c>
      <c r="AX84" s="2">
        <f t="shared" si="58"/>
        <v>16640</v>
      </c>
      <c r="AY84" s="2">
        <f t="shared" si="59"/>
        <v>4.6222222222222218</v>
      </c>
    </row>
    <row r="85" spans="1:51" x14ac:dyDescent="0.3">
      <c r="A85" s="2" t="s">
        <v>89</v>
      </c>
      <c r="B85">
        <v>960</v>
      </c>
      <c r="C85">
        <v>960</v>
      </c>
      <c r="D85" s="2">
        <f t="shared" si="30"/>
        <v>1920</v>
      </c>
      <c r="E85" s="2">
        <f t="shared" si="31"/>
        <v>15360</v>
      </c>
      <c r="F85" s="2">
        <f t="shared" si="32"/>
        <v>4.2666666666666666</v>
      </c>
      <c r="G85">
        <v>1120</v>
      </c>
      <c r="H85">
        <v>1120</v>
      </c>
      <c r="I85" s="2">
        <f t="shared" si="33"/>
        <v>2240</v>
      </c>
      <c r="J85" s="2">
        <f t="shared" si="34"/>
        <v>17920</v>
      </c>
      <c r="K85" s="2">
        <f t="shared" si="35"/>
        <v>4.9777777777777779</v>
      </c>
      <c r="L85">
        <v>1120</v>
      </c>
      <c r="M85">
        <v>1120</v>
      </c>
      <c r="N85" s="2">
        <f t="shared" si="36"/>
        <v>2240</v>
      </c>
      <c r="O85" s="2">
        <f t="shared" si="37"/>
        <v>17920</v>
      </c>
      <c r="P85" s="2">
        <f t="shared" si="38"/>
        <v>4.9777777777777779</v>
      </c>
      <c r="Q85">
        <v>1120</v>
      </c>
      <c r="R85">
        <v>1120</v>
      </c>
      <c r="S85" s="2">
        <f t="shared" si="39"/>
        <v>2240</v>
      </c>
      <c r="T85" s="2">
        <f t="shared" si="40"/>
        <v>17920</v>
      </c>
      <c r="U85" s="2">
        <f t="shared" si="41"/>
        <v>4.9777777777777779</v>
      </c>
      <c r="V85">
        <v>1040</v>
      </c>
      <c r="W85">
        <v>1040</v>
      </c>
      <c r="X85" s="2">
        <f t="shared" si="42"/>
        <v>2080</v>
      </c>
      <c r="Y85" s="2">
        <f t="shared" si="43"/>
        <v>16640</v>
      </c>
      <c r="Z85" s="2">
        <f t="shared" si="44"/>
        <v>4.6222222222222218</v>
      </c>
      <c r="AA85">
        <v>1200</v>
      </c>
      <c r="AB85">
        <v>1200</v>
      </c>
      <c r="AC85" s="2">
        <f t="shared" si="45"/>
        <v>2400</v>
      </c>
      <c r="AD85" s="2">
        <f t="shared" si="46"/>
        <v>19200</v>
      </c>
      <c r="AE85" s="2">
        <f t="shared" si="47"/>
        <v>5.333333333333333</v>
      </c>
      <c r="AF85">
        <v>1040</v>
      </c>
      <c r="AG85">
        <v>1040</v>
      </c>
      <c r="AH85" s="2">
        <f t="shared" si="48"/>
        <v>2080</v>
      </c>
      <c r="AI85" s="2">
        <f t="shared" si="49"/>
        <v>16640</v>
      </c>
      <c r="AJ85" s="2">
        <f t="shared" si="50"/>
        <v>4.6222222222222218</v>
      </c>
      <c r="AK85">
        <v>1040</v>
      </c>
      <c r="AL85">
        <v>1040</v>
      </c>
      <c r="AM85" s="2">
        <f t="shared" si="51"/>
        <v>2080</v>
      </c>
      <c r="AN85" s="2">
        <f t="shared" si="52"/>
        <v>16640</v>
      </c>
      <c r="AO85" s="2">
        <f t="shared" si="53"/>
        <v>4.6222222222222218</v>
      </c>
      <c r="AP85">
        <v>1040</v>
      </c>
      <c r="AQ85">
        <v>1040</v>
      </c>
      <c r="AR85" s="2">
        <f t="shared" si="54"/>
        <v>2080</v>
      </c>
      <c r="AS85" s="2">
        <f t="shared" si="55"/>
        <v>16640</v>
      </c>
      <c r="AT85" s="2">
        <f t="shared" si="56"/>
        <v>4.6222222222222218</v>
      </c>
      <c r="AU85">
        <v>1120</v>
      </c>
      <c r="AV85">
        <v>1120</v>
      </c>
      <c r="AW85" s="2">
        <f t="shared" si="57"/>
        <v>2240</v>
      </c>
      <c r="AX85" s="2">
        <f t="shared" si="58"/>
        <v>17920</v>
      </c>
      <c r="AY85" s="2">
        <f t="shared" si="59"/>
        <v>4.9777777777777779</v>
      </c>
    </row>
    <row r="86" spans="1:51" x14ac:dyDescent="0.3">
      <c r="A86" s="2" t="s">
        <v>90</v>
      </c>
      <c r="B86">
        <v>1200</v>
      </c>
      <c r="C86">
        <v>1200</v>
      </c>
      <c r="D86" s="2">
        <f t="shared" si="30"/>
        <v>2400</v>
      </c>
      <c r="E86" s="2">
        <f t="shared" si="31"/>
        <v>19200</v>
      </c>
      <c r="F86" s="2">
        <f t="shared" si="32"/>
        <v>5.333333333333333</v>
      </c>
      <c r="G86">
        <v>1040</v>
      </c>
      <c r="H86">
        <v>1040</v>
      </c>
      <c r="I86" s="2">
        <f t="shared" si="33"/>
        <v>2080</v>
      </c>
      <c r="J86" s="2">
        <f t="shared" si="34"/>
        <v>16640</v>
      </c>
      <c r="K86" s="2">
        <f t="shared" si="35"/>
        <v>4.6222222222222218</v>
      </c>
      <c r="L86">
        <v>1040</v>
      </c>
      <c r="M86">
        <v>1040</v>
      </c>
      <c r="N86" s="2">
        <f t="shared" si="36"/>
        <v>2080</v>
      </c>
      <c r="O86" s="2">
        <f t="shared" si="37"/>
        <v>16640</v>
      </c>
      <c r="P86" s="2">
        <f t="shared" si="38"/>
        <v>4.6222222222222218</v>
      </c>
      <c r="Q86">
        <v>960</v>
      </c>
      <c r="R86">
        <v>960</v>
      </c>
      <c r="S86" s="2">
        <f t="shared" si="39"/>
        <v>1920</v>
      </c>
      <c r="T86" s="2">
        <f t="shared" si="40"/>
        <v>15360</v>
      </c>
      <c r="U86" s="2">
        <f t="shared" si="41"/>
        <v>4.2666666666666666</v>
      </c>
      <c r="V86">
        <v>1120</v>
      </c>
      <c r="W86">
        <v>1120</v>
      </c>
      <c r="X86" s="2">
        <f t="shared" si="42"/>
        <v>2240</v>
      </c>
      <c r="Y86" s="2">
        <f t="shared" si="43"/>
        <v>17920</v>
      </c>
      <c r="Z86" s="2">
        <f t="shared" si="44"/>
        <v>4.9777777777777779</v>
      </c>
      <c r="AA86">
        <v>1200</v>
      </c>
      <c r="AB86">
        <v>1200</v>
      </c>
      <c r="AC86" s="2">
        <f t="shared" si="45"/>
        <v>2400</v>
      </c>
      <c r="AD86" s="2">
        <f t="shared" si="46"/>
        <v>19200</v>
      </c>
      <c r="AE86" s="2">
        <f t="shared" si="47"/>
        <v>5.333333333333333</v>
      </c>
      <c r="AF86">
        <v>1040</v>
      </c>
      <c r="AG86">
        <v>1040</v>
      </c>
      <c r="AH86" s="2">
        <f t="shared" si="48"/>
        <v>2080</v>
      </c>
      <c r="AI86" s="2">
        <f t="shared" si="49"/>
        <v>16640</v>
      </c>
      <c r="AJ86" s="2">
        <f t="shared" si="50"/>
        <v>4.6222222222222218</v>
      </c>
      <c r="AK86">
        <v>720</v>
      </c>
      <c r="AL86">
        <v>720</v>
      </c>
      <c r="AM86" s="2">
        <f t="shared" si="51"/>
        <v>1440</v>
      </c>
      <c r="AN86" s="2">
        <f t="shared" si="52"/>
        <v>11520</v>
      </c>
      <c r="AO86" s="2">
        <f t="shared" si="53"/>
        <v>3.2</v>
      </c>
      <c r="AP86">
        <v>1040</v>
      </c>
      <c r="AQ86">
        <v>1040</v>
      </c>
      <c r="AR86" s="2">
        <f t="shared" si="54"/>
        <v>2080</v>
      </c>
      <c r="AS86" s="2">
        <f t="shared" si="55"/>
        <v>16640</v>
      </c>
      <c r="AT86" s="2">
        <f t="shared" si="56"/>
        <v>4.6222222222222218</v>
      </c>
      <c r="AU86">
        <v>1120</v>
      </c>
      <c r="AV86">
        <v>1120</v>
      </c>
      <c r="AW86" s="2">
        <f t="shared" si="57"/>
        <v>2240</v>
      </c>
      <c r="AX86" s="2">
        <f t="shared" si="58"/>
        <v>17920</v>
      </c>
      <c r="AY86" s="2">
        <f t="shared" si="59"/>
        <v>4.9777777777777779</v>
      </c>
    </row>
    <row r="87" spans="1:51" x14ac:dyDescent="0.3">
      <c r="A87" s="2" t="s">
        <v>91</v>
      </c>
      <c r="B87">
        <v>1040</v>
      </c>
      <c r="C87">
        <v>1040</v>
      </c>
      <c r="D87" s="2">
        <f t="shared" si="30"/>
        <v>2080</v>
      </c>
      <c r="E87" s="2">
        <f t="shared" si="31"/>
        <v>16640</v>
      </c>
      <c r="F87" s="2">
        <f t="shared" si="32"/>
        <v>4.6222222222222218</v>
      </c>
      <c r="G87">
        <v>1120</v>
      </c>
      <c r="H87">
        <v>1120</v>
      </c>
      <c r="I87" s="2">
        <f t="shared" si="33"/>
        <v>2240</v>
      </c>
      <c r="J87" s="2">
        <f t="shared" si="34"/>
        <v>17920</v>
      </c>
      <c r="K87" s="2">
        <f t="shared" si="35"/>
        <v>4.9777777777777779</v>
      </c>
      <c r="L87">
        <v>960</v>
      </c>
      <c r="M87">
        <v>960</v>
      </c>
      <c r="N87" s="2">
        <f t="shared" si="36"/>
        <v>1920</v>
      </c>
      <c r="O87" s="2">
        <f t="shared" si="37"/>
        <v>15360</v>
      </c>
      <c r="P87" s="2">
        <f t="shared" si="38"/>
        <v>4.2666666666666666</v>
      </c>
      <c r="Q87">
        <v>1120</v>
      </c>
      <c r="R87">
        <v>1120</v>
      </c>
      <c r="S87" s="2">
        <f t="shared" si="39"/>
        <v>2240</v>
      </c>
      <c r="T87" s="2">
        <f t="shared" si="40"/>
        <v>17920</v>
      </c>
      <c r="U87" s="2">
        <f t="shared" si="41"/>
        <v>4.9777777777777779</v>
      </c>
      <c r="V87">
        <v>880</v>
      </c>
      <c r="W87">
        <v>880</v>
      </c>
      <c r="X87" s="2">
        <f t="shared" si="42"/>
        <v>1760</v>
      </c>
      <c r="Y87" s="2">
        <f t="shared" si="43"/>
        <v>14080</v>
      </c>
      <c r="Z87" s="2">
        <f t="shared" si="44"/>
        <v>3.911111111111111</v>
      </c>
      <c r="AA87">
        <v>1200</v>
      </c>
      <c r="AB87">
        <v>1200</v>
      </c>
      <c r="AC87" s="2">
        <f t="shared" si="45"/>
        <v>2400</v>
      </c>
      <c r="AD87" s="2">
        <f t="shared" si="46"/>
        <v>19200</v>
      </c>
      <c r="AE87" s="2">
        <f t="shared" si="47"/>
        <v>5.333333333333333</v>
      </c>
      <c r="AF87">
        <v>960</v>
      </c>
      <c r="AG87">
        <v>960</v>
      </c>
      <c r="AH87" s="2">
        <f t="shared" si="48"/>
        <v>1920</v>
      </c>
      <c r="AI87" s="2">
        <f t="shared" si="49"/>
        <v>15360</v>
      </c>
      <c r="AJ87" s="2">
        <f t="shared" si="50"/>
        <v>4.2666666666666666</v>
      </c>
      <c r="AK87">
        <v>960</v>
      </c>
      <c r="AL87">
        <v>960</v>
      </c>
      <c r="AM87" s="2">
        <f t="shared" si="51"/>
        <v>1920</v>
      </c>
      <c r="AN87" s="2">
        <f t="shared" si="52"/>
        <v>15360</v>
      </c>
      <c r="AO87" s="2">
        <f t="shared" si="53"/>
        <v>4.2666666666666666</v>
      </c>
      <c r="AP87">
        <v>1040</v>
      </c>
      <c r="AQ87">
        <v>1040</v>
      </c>
      <c r="AR87" s="2">
        <f t="shared" si="54"/>
        <v>2080</v>
      </c>
      <c r="AS87" s="2">
        <f t="shared" si="55"/>
        <v>16640</v>
      </c>
      <c r="AT87" s="2">
        <f t="shared" si="56"/>
        <v>4.6222222222222218</v>
      </c>
      <c r="AU87">
        <v>1200</v>
      </c>
      <c r="AV87">
        <v>1200</v>
      </c>
      <c r="AW87" s="2">
        <f t="shared" si="57"/>
        <v>2400</v>
      </c>
      <c r="AX87" s="2">
        <f t="shared" si="58"/>
        <v>19200</v>
      </c>
      <c r="AY87" s="2">
        <f t="shared" si="59"/>
        <v>5.333333333333333</v>
      </c>
    </row>
    <row r="88" spans="1:51" x14ac:dyDescent="0.3">
      <c r="A88" s="2" t="s">
        <v>92</v>
      </c>
      <c r="B88">
        <v>1200</v>
      </c>
      <c r="C88">
        <v>1200</v>
      </c>
      <c r="D88" s="2">
        <f t="shared" si="30"/>
        <v>2400</v>
      </c>
      <c r="E88" s="2">
        <f t="shared" si="31"/>
        <v>19200</v>
      </c>
      <c r="F88" s="2">
        <f t="shared" si="32"/>
        <v>5.333333333333333</v>
      </c>
      <c r="G88">
        <v>880</v>
      </c>
      <c r="H88">
        <v>880</v>
      </c>
      <c r="I88" s="2">
        <f t="shared" si="33"/>
        <v>1760</v>
      </c>
      <c r="J88" s="2">
        <f t="shared" si="34"/>
        <v>14080</v>
      </c>
      <c r="K88" s="2">
        <f t="shared" si="35"/>
        <v>3.911111111111111</v>
      </c>
      <c r="L88">
        <v>1120</v>
      </c>
      <c r="M88">
        <v>1120</v>
      </c>
      <c r="N88" s="2">
        <f t="shared" si="36"/>
        <v>2240</v>
      </c>
      <c r="O88" s="2">
        <f t="shared" si="37"/>
        <v>17920</v>
      </c>
      <c r="P88" s="2">
        <f t="shared" si="38"/>
        <v>4.9777777777777779</v>
      </c>
      <c r="Q88">
        <v>1040</v>
      </c>
      <c r="R88">
        <v>1040</v>
      </c>
      <c r="S88" s="2">
        <f t="shared" si="39"/>
        <v>2080</v>
      </c>
      <c r="T88" s="2">
        <f t="shared" si="40"/>
        <v>16640</v>
      </c>
      <c r="U88" s="2">
        <f t="shared" si="41"/>
        <v>4.6222222222222218</v>
      </c>
      <c r="V88">
        <v>1040</v>
      </c>
      <c r="W88">
        <v>1040</v>
      </c>
      <c r="X88" s="2">
        <f t="shared" si="42"/>
        <v>2080</v>
      </c>
      <c r="Y88" s="2">
        <f t="shared" si="43"/>
        <v>16640</v>
      </c>
      <c r="Z88" s="2">
        <f t="shared" si="44"/>
        <v>4.6222222222222218</v>
      </c>
      <c r="AA88">
        <v>1040</v>
      </c>
      <c r="AB88">
        <v>1040</v>
      </c>
      <c r="AC88" s="2">
        <f t="shared" si="45"/>
        <v>2080</v>
      </c>
      <c r="AD88" s="2">
        <f t="shared" si="46"/>
        <v>16640</v>
      </c>
      <c r="AE88" s="2">
        <f t="shared" si="47"/>
        <v>4.6222222222222218</v>
      </c>
      <c r="AF88">
        <v>1120</v>
      </c>
      <c r="AG88">
        <v>1120</v>
      </c>
      <c r="AH88" s="2">
        <f t="shared" si="48"/>
        <v>2240</v>
      </c>
      <c r="AI88" s="2">
        <f t="shared" si="49"/>
        <v>17920</v>
      </c>
      <c r="AJ88" s="2">
        <f t="shared" si="50"/>
        <v>4.9777777777777779</v>
      </c>
      <c r="AK88">
        <v>1040</v>
      </c>
      <c r="AL88">
        <v>1040</v>
      </c>
      <c r="AM88" s="2">
        <f t="shared" si="51"/>
        <v>2080</v>
      </c>
      <c r="AN88" s="2">
        <f t="shared" si="52"/>
        <v>16640</v>
      </c>
      <c r="AO88" s="2">
        <f t="shared" si="53"/>
        <v>4.6222222222222218</v>
      </c>
      <c r="AP88">
        <v>1200</v>
      </c>
      <c r="AQ88">
        <v>1200</v>
      </c>
      <c r="AR88" s="2">
        <f t="shared" si="54"/>
        <v>2400</v>
      </c>
      <c r="AS88" s="2">
        <f t="shared" si="55"/>
        <v>19200</v>
      </c>
      <c r="AT88" s="2">
        <f t="shared" si="56"/>
        <v>5.333333333333333</v>
      </c>
      <c r="AU88">
        <v>1120</v>
      </c>
      <c r="AV88">
        <v>1120</v>
      </c>
      <c r="AW88" s="2">
        <f t="shared" si="57"/>
        <v>2240</v>
      </c>
      <c r="AX88" s="2">
        <f t="shared" si="58"/>
        <v>17920</v>
      </c>
      <c r="AY88" s="2">
        <f t="shared" si="59"/>
        <v>4.9777777777777779</v>
      </c>
    </row>
    <row r="89" spans="1:51" x14ac:dyDescent="0.3">
      <c r="A89" s="2" t="s">
        <v>93</v>
      </c>
      <c r="B89">
        <v>1040</v>
      </c>
      <c r="C89">
        <v>1040</v>
      </c>
      <c r="D89" s="2">
        <f t="shared" si="30"/>
        <v>2080</v>
      </c>
      <c r="E89" s="2">
        <f t="shared" si="31"/>
        <v>16640</v>
      </c>
      <c r="F89" s="2">
        <f t="shared" si="32"/>
        <v>4.6222222222222218</v>
      </c>
      <c r="G89">
        <v>960</v>
      </c>
      <c r="H89">
        <v>960</v>
      </c>
      <c r="I89" s="2">
        <f t="shared" si="33"/>
        <v>1920</v>
      </c>
      <c r="J89" s="2">
        <f t="shared" si="34"/>
        <v>15360</v>
      </c>
      <c r="K89" s="2">
        <f t="shared" si="35"/>
        <v>4.2666666666666666</v>
      </c>
      <c r="L89">
        <v>1200</v>
      </c>
      <c r="M89">
        <v>1200</v>
      </c>
      <c r="N89" s="2">
        <f t="shared" si="36"/>
        <v>2400</v>
      </c>
      <c r="O89" s="2">
        <f t="shared" si="37"/>
        <v>19200</v>
      </c>
      <c r="P89" s="2">
        <f t="shared" si="38"/>
        <v>5.333333333333333</v>
      </c>
      <c r="Q89">
        <v>1120</v>
      </c>
      <c r="R89">
        <v>1120</v>
      </c>
      <c r="S89" s="2">
        <f t="shared" si="39"/>
        <v>2240</v>
      </c>
      <c r="T89" s="2">
        <f t="shared" si="40"/>
        <v>17920</v>
      </c>
      <c r="U89" s="2">
        <f t="shared" si="41"/>
        <v>4.9777777777777779</v>
      </c>
      <c r="V89">
        <v>1040</v>
      </c>
      <c r="W89">
        <v>1040</v>
      </c>
      <c r="X89" s="2">
        <f t="shared" si="42"/>
        <v>2080</v>
      </c>
      <c r="Y89" s="2">
        <f t="shared" si="43"/>
        <v>16640</v>
      </c>
      <c r="Z89" s="2">
        <f t="shared" si="44"/>
        <v>4.6222222222222218</v>
      </c>
      <c r="AA89">
        <v>1040</v>
      </c>
      <c r="AB89">
        <v>1040</v>
      </c>
      <c r="AC89" s="2">
        <f t="shared" si="45"/>
        <v>2080</v>
      </c>
      <c r="AD89" s="2">
        <f t="shared" si="46"/>
        <v>16640</v>
      </c>
      <c r="AE89" s="2">
        <f t="shared" si="47"/>
        <v>4.6222222222222218</v>
      </c>
      <c r="AF89">
        <v>1120</v>
      </c>
      <c r="AG89">
        <v>1120</v>
      </c>
      <c r="AH89" s="2">
        <f t="shared" si="48"/>
        <v>2240</v>
      </c>
      <c r="AI89" s="2">
        <f t="shared" si="49"/>
        <v>17920</v>
      </c>
      <c r="AJ89" s="2">
        <f t="shared" si="50"/>
        <v>4.9777777777777779</v>
      </c>
      <c r="AK89">
        <v>1040</v>
      </c>
      <c r="AL89">
        <v>1040</v>
      </c>
      <c r="AM89" s="2">
        <f t="shared" si="51"/>
        <v>2080</v>
      </c>
      <c r="AN89" s="2">
        <f t="shared" si="52"/>
        <v>16640</v>
      </c>
      <c r="AO89" s="2">
        <f t="shared" si="53"/>
        <v>4.6222222222222218</v>
      </c>
      <c r="AP89">
        <v>1120</v>
      </c>
      <c r="AQ89">
        <v>1120</v>
      </c>
      <c r="AR89" s="2">
        <f t="shared" si="54"/>
        <v>2240</v>
      </c>
      <c r="AS89" s="2">
        <f t="shared" si="55"/>
        <v>17920</v>
      </c>
      <c r="AT89" s="2">
        <f t="shared" si="56"/>
        <v>4.9777777777777779</v>
      </c>
      <c r="AU89">
        <v>1280</v>
      </c>
      <c r="AV89">
        <v>1280</v>
      </c>
      <c r="AW89" s="2">
        <f t="shared" si="57"/>
        <v>2560</v>
      </c>
      <c r="AX89" s="2">
        <f t="shared" si="58"/>
        <v>20480</v>
      </c>
      <c r="AY89" s="2">
        <f t="shared" si="59"/>
        <v>5.6888888888888891</v>
      </c>
    </row>
    <row r="90" spans="1:51" x14ac:dyDescent="0.3">
      <c r="A90" s="2" t="s">
        <v>94</v>
      </c>
      <c r="B90">
        <v>960</v>
      </c>
      <c r="C90">
        <v>960</v>
      </c>
      <c r="D90" s="2">
        <f t="shared" si="30"/>
        <v>1920</v>
      </c>
      <c r="E90" s="2">
        <f t="shared" si="31"/>
        <v>15360</v>
      </c>
      <c r="F90" s="2">
        <f t="shared" si="32"/>
        <v>4.2666666666666666</v>
      </c>
      <c r="G90">
        <v>1040</v>
      </c>
      <c r="H90">
        <v>1040</v>
      </c>
      <c r="I90" s="2">
        <f t="shared" si="33"/>
        <v>2080</v>
      </c>
      <c r="J90" s="2">
        <f t="shared" si="34"/>
        <v>16640</v>
      </c>
      <c r="K90" s="2">
        <f t="shared" si="35"/>
        <v>4.6222222222222218</v>
      </c>
      <c r="L90">
        <v>1120</v>
      </c>
      <c r="M90">
        <v>1120</v>
      </c>
      <c r="N90" s="2">
        <f t="shared" si="36"/>
        <v>2240</v>
      </c>
      <c r="O90" s="2">
        <f t="shared" si="37"/>
        <v>17920</v>
      </c>
      <c r="P90" s="2">
        <f t="shared" si="38"/>
        <v>4.9777777777777779</v>
      </c>
      <c r="Q90">
        <v>960</v>
      </c>
      <c r="R90">
        <v>960</v>
      </c>
      <c r="S90" s="2">
        <f t="shared" si="39"/>
        <v>1920</v>
      </c>
      <c r="T90" s="2">
        <f t="shared" si="40"/>
        <v>15360</v>
      </c>
      <c r="U90" s="2">
        <f t="shared" si="41"/>
        <v>4.2666666666666666</v>
      </c>
      <c r="V90">
        <v>1120</v>
      </c>
      <c r="W90">
        <v>1120</v>
      </c>
      <c r="X90" s="2">
        <f t="shared" si="42"/>
        <v>2240</v>
      </c>
      <c r="Y90" s="2">
        <f t="shared" si="43"/>
        <v>17920</v>
      </c>
      <c r="Z90" s="2">
        <f t="shared" si="44"/>
        <v>4.9777777777777779</v>
      </c>
      <c r="AA90">
        <v>1120</v>
      </c>
      <c r="AB90">
        <v>1120</v>
      </c>
      <c r="AC90" s="2">
        <f t="shared" si="45"/>
        <v>2240</v>
      </c>
      <c r="AD90" s="2">
        <f t="shared" si="46"/>
        <v>17920</v>
      </c>
      <c r="AE90" s="2">
        <f t="shared" si="47"/>
        <v>4.9777777777777779</v>
      </c>
      <c r="AF90">
        <v>1120</v>
      </c>
      <c r="AG90">
        <v>1120</v>
      </c>
      <c r="AH90" s="2">
        <f t="shared" si="48"/>
        <v>2240</v>
      </c>
      <c r="AI90" s="2">
        <f t="shared" si="49"/>
        <v>17920</v>
      </c>
      <c r="AJ90" s="2">
        <f t="shared" si="50"/>
        <v>4.9777777777777779</v>
      </c>
      <c r="AK90">
        <v>880</v>
      </c>
      <c r="AL90">
        <v>880</v>
      </c>
      <c r="AM90" s="2">
        <f t="shared" si="51"/>
        <v>1760</v>
      </c>
      <c r="AN90" s="2">
        <f t="shared" si="52"/>
        <v>14080</v>
      </c>
      <c r="AO90" s="2">
        <f t="shared" si="53"/>
        <v>3.911111111111111</v>
      </c>
      <c r="AP90">
        <v>1200</v>
      </c>
      <c r="AQ90">
        <v>1200</v>
      </c>
      <c r="AR90" s="2">
        <f t="shared" si="54"/>
        <v>2400</v>
      </c>
      <c r="AS90" s="2">
        <f t="shared" si="55"/>
        <v>19200</v>
      </c>
      <c r="AT90" s="2">
        <f t="shared" si="56"/>
        <v>5.333333333333333</v>
      </c>
      <c r="AU90">
        <v>880</v>
      </c>
      <c r="AV90">
        <v>880</v>
      </c>
      <c r="AW90" s="2">
        <f t="shared" si="57"/>
        <v>1760</v>
      </c>
      <c r="AX90" s="2">
        <f t="shared" si="58"/>
        <v>14080</v>
      </c>
      <c r="AY90" s="2">
        <f t="shared" si="59"/>
        <v>3.911111111111111</v>
      </c>
    </row>
    <row r="91" spans="1:51" x14ac:dyDescent="0.3">
      <c r="A91" s="2" t="s">
        <v>95</v>
      </c>
      <c r="B91">
        <v>1040</v>
      </c>
      <c r="C91">
        <v>1040</v>
      </c>
      <c r="D91" s="2">
        <f t="shared" si="30"/>
        <v>2080</v>
      </c>
      <c r="E91" s="2">
        <f t="shared" si="31"/>
        <v>16640</v>
      </c>
      <c r="F91" s="2">
        <f t="shared" si="32"/>
        <v>4.6222222222222218</v>
      </c>
      <c r="G91">
        <v>1120</v>
      </c>
      <c r="H91">
        <v>1120</v>
      </c>
      <c r="I91" s="2">
        <f t="shared" si="33"/>
        <v>2240</v>
      </c>
      <c r="J91" s="2">
        <f t="shared" si="34"/>
        <v>17920</v>
      </c>
      <c r="K91" s="2">
        <f t="shared" si="35"/>
        <v>4.9777777777777779</v>
      </c>
      <c r="L91">
        <v>1040</v>
      </c>
      <c r="M91">
        <v>1040</v>
      </c>
      <c r="N91" s="2">
        <f t="shared" si="36"/>
        <v>2080</v>
      </c>
      <c r="O91" s="2">
        <f t="shared" si="37"/>
        <v>16640</v>
      </c>
      <c r="P91" s="2">
        <f t="shared" si="38"/>
        <v>4.6222222222222218</v>
      </c>
      <c r="Q91">
        <v>1280</v>
      </c>
      <c r="R91">
        <v>1280</v>
      </c>
      <c r="S91" s="2">
        <f t="shared" si="39"/>
        <v>2560</v>
      </c>
      <c r="T91" s="2">
        <f t="shared" si="40"/>
        <v>20480</v>
      </c>
      <c r="U91" s="2">
        <f t="shared" si="41"/>
        <v>5.6888888888888891</v>
      </c>
      <c r="V91">
        <v>960</v>
      </c>
      <c r="W91">
        <v>960</v>
      </c>
      <c r="X91" s="2">
        <f t="shared" si="42"/>
        <v>1920</v>
      </c>
      <c r="Y91" s="2">
        <f t="shared" si="43"/>
        <v>15360</v>
      </c>
      <c r="Z91" s="2">
        <f t="shared" si="44"/>
        <v>4.2666666666666666</v>
      </c>
      <c r="AA91">
        <v>1200</v>
      </c>
      <c r="AB91">
        <v>1200</v>
      </c>
      <c r="AC91" s="2">
        <f t="shared" si="45"/>
        <v>2400</v>
      </c>
      <c r="AD91" s="2">
        <f t="shared" si="46"/>
        <v>19200</v>
      </c>
      <c r="AE91" s="2">
        <f t="shared" si="47"/>
        <v>5.333333333333333</v>
      </c>
      <c r="AF91">
        <v>880</v>
      </c>
      <c r="AG91">
        <v>880</v>
      </c>
      <c r="AH91" s="2">
        <f t="shared" si="48"/>
        <v>1760</v>
      </c>
      <c r="AI91" s="2">
        <f t="shared" si="49"/>
        <v>14080</v>
      </c>
      <c r="AJ91" s="2">
        <f t="shared" si="50"/>
        <v>3.911111111111111</v>
      </c>
      <c r="AK91">
        <v>1040</v>
      </c>
      <c r="AL91">
        <v>1040</v>
      </c>
      <c r="AM91" s="2">
        <f t="shared" si="51"/>
        <v>2080</v>
      </c>
      <c r="AN91" s="2">
        <f t="shared" si="52"/>
        <v>16640</v>
      </c>
      <c r="AO91" s="2">
        <f t="shared" si="53"/>
        <v>4.6222222222222218</v>
      </c>
      <c r="AP91">
        <v>1120</v>
      </c>
      <c r="AQ91">
        <v>1120</v>
      </c>
      <c r="AR91" s="2">
        <f t="shared" si="54"/>
        <v>2240</v>
      </c>
      <c r="AS91" s="2">
        <f t="shared" si="55"/>
        <v>17920</v>
      </c>
      <c r="AT91" s="2">
        <f t="shared" si="56"/>
        <v>4.9777777777777779</v>
      </c>
      <c r="AU91">
        <v>1040</v>
      </c>
      <c r="AV91">
        <v>1040</v>
      </c>
      <c r="AW91" s="2">
        <f t="shared" si="57"/>
        <v>2080</v>
      </c>
      <c r="AX91" s="2">
        <f t="shared" si="58"/>
        <v>16640</v>
      </c>
      <c r="AY91" s="2">
        <f t="shared" si="59"/>
        <v>4.6222222222222218</v>
      </c>
    </row>
    <row r="92" spans="1:51" x14ac:dyDescent="0.3">
      <c r="A92" s="2" t="s">
        <v>96</v>
      </c>
      <c r="B92">
        <v>1040</v>
      </c>
      <c r="C92">
        <v>1040</v>
      </c>
      <c r="D92" s="2">
        <f t="shared" si="30"/>
        <v>2080</v>
      </c>
      <c r="E92" s="2">
        <f t="shared" si="31"/>
        <v>16640</v>
      </c>
      <c r="F92" s="2">
        <f t="shared" si="32"/>
        <v>4.6222222222222218</v>
      </c>
      <c r="G92">
        <v>1120</v>
      </c>
      <c r="H92">
        <v>1120</v>
      </c>
      <c r="I92" s="2">
        <f t="shared" si="33"/>
        <v>2240</v>
      </c>
      <c r="J92" s="2">
        <f t="shared" si="34"/>
        <v>17920</v>
      </c>
      <c r="K92" s="2">
        <f t="shared" si="35"/>
        <v>4.9777777777777779</v>
      </c>
      <c r="L92">
        <v>1200</v>
      </c>
      <c r="M92">
        <v>1200</v>
      </c>
      <c r="N92" s="2">
        <f t="shared" si="36"/>
        <v>2400</v>
      </c>
      <c r="O92" s="2">
        <f t="shared" si="37"/>
        <v>19200</v>
      </c>
      <c r="P92" s="2">
        <f t="shared" si="38"/>
        <v>5.333333333333333</v>
      </c>
      <c r="Q92">
        <v>1280</v>
      </c>
      <c r="R92">
        <v>1280</v>
      </c>
      <c r="S92" s="2">
        <f t="shared" si="39"/>
        <v>2560</v>
      </c>
      <c r="T92" s="2">
        <f t="shared" si="40"/>
        <v>20480</v>
      </c>
      <c r="U92" s="2">
        <f t="shared" si="41"/>
        <v>5.6888888888888891</v>
      </c>
      <c r="V92">
        <v>1120</v>
      </c>
      <c r="W92">
        <v>1120</v>
      </c>
      <c r="X92" s="2">
        <f t="shared" si="42"/>
        <v>2240</v>
      </c>
      <c r="Y92" s="2">
        <f t="shared" si="43"/>
        <v>17920</v>
      </c>
      <c r="Z92" s="2">
        <f t="shared" si="44"/>
        <v>4.9777777777777779</v>
      </c>
      <c r="AA92">
        <v>1040</v>
      </c>
      <c r="AB92">
        <v>1040</v>
      </c>
      <c r="AC92" s="2">
        <f t="shared" si="45"/>
        <v>2080</v>
      </c>
      <c r="AD92" s="2">
        <f t="shared" si="46"/>
        <v>16640</v>
      </c>
      <c r="AE92" s="2">
        <f t="shared" si="47"/>
        <v>4.6222222222222218</v>
      </c>
      <c r="AF92">
        <v>1040</v>
      </c>
      <c r="AG92">
        <v>1040</v>
      </c>
      <c r="AH92" s="2">
        <f t="shared" si="48"/>
        <v>2080</v>
      </c>
      <c r="AI92" s="2">
        <f t="shared" si="49"/>
        <v>16640</v>
      </c>
      <c r="AJ92" s="2">
        <f t="shared" si="50"/>
        <v>4.6222222222222218</v>
      </c>
      <c r="AK92">
        <v>1120</v>
      </c>
      <c r="AL92">
        <v>1120</v>
      </c>
      <c r="AM92" s="2">
        <f t="shared" si="51"/>
        <v>2240</v>
      </c>
      <c r="AN92" s="2">
        <f t="shared" si="52"/>
        <v>17920</v>
      </c>
      <c r="AO92" s="2">
        <f t="shared" si="53"/>
        <v>4.9777777777777779</v>
      </c>
      <c r="AP92">
        <v>1200</v>
      </c>
      <c r="AQ92">
        <v>1200</v>
      </c>
      <c r="AR92" s="2">
        <f t="shared" si="54"/>
        <v>2400</v>
      </c>
      <c r="AS92" s="2">
        <f t="shared" si="55"/>
        <v>19200</v>
      </c>
      <c r="AT92" s="2">
        <f t="shared" si="56"/>
        <v>5.333333333333333</v>
      </c>
      <c r="AU92">
        <v>960</v>
      </c>
      <c r="AV92">
        <v>960</v>
      </c>
      <c r="AW92" s="2">
        <f t="shared" si="57"/>
        <v>1920</v>
      </c>
      <c r="AX92" s="2">
        <f t="shared" si="58"/>
        <v>15360</v>
      </c>
      <c r="AY92" s="2">
        <f t="shared" si="59"/>
        <v>4.2666666666666666</v>
      </c>
    </row>
    <row r="93" spans="1:51" x14ac:dyDescent="0.3">
      <c r="A93" s="2" t="s">
        <v>97</v>
      </c>
      <c r="B93">
        <v>1040</v>
      </c>
      <c r="C93">
        <v>1040</v>
      </c>
      <c r="D93" s="2">
        <f t="shared" si="30"/>
        <v>2080</v>
      </c>
      <c r="E93" s="2">
        <f t="shared" si="31"/>
        <v>16640</v>
      </c>
      <c r="F93" s="2">
        <f t="shared" si="32"/>
        <v>4.6222222222222218</v>
      </c>
      <c r="G93">
        <v>1120</v>
      </c>
      <c r="H93">
        <v>1120</v>
      </c>
      <c r="I93" s="2">
        <f t="shared" si="33"/>
        <v>2240</v>
      </c>
      <c r="J93" s="2">
        <f t="shared" si="34"/>
        <v>17920</v>
      </c>
      <c r="K93" s="2">
        <f t="shared" si="35"/>
        <v>4.9777777777777779</v>
      </c>
      <c r="L93">
        <v>1120</v>
      </c>
      <c r="M93">
        <v>1120</v>
      </c>
      <c r="N93" s="2">
        <f t="shared" si="36"/>
        <v>2240</v>
      </c>
      <c r="O93" s="2">
        <f t="shared" si="37"/>
        <v>17920</v>
      </c>
      <c r="P93" s="2">
        <f t="shared" si="38"/>
        <v>4.9777777777777779</v>
      </c>
      <c r="Q93">
        <v>1200</v>
      </c>
      <c r="R93">
        <v>1200</v>
      </c>
      <c r="S93" s="2">
        <f t="shared" si="39"/>
        <v>2400</v>
      </c>
      <c r="T93" s="2">
        <f t="shared" si="40"/>
        <v>19200</v>
      </c>
      <c r="U93" s="2">
        <f t="shared" si="41"/>
        <v>5.333333333333333</v>
      </c>
      <c r="V93">
        <v>960</v>
      </c>
      <c r="W93">
        <v>960</v>
      </c>
      <c r="X93" s="2">
        <f t="shared" si="42"/>
        <v>1920</v>
      </c>
      <c r="Y93" s="2">
        <f t="shared" si="43"/>
        <v>15360</v>
      </c>
      <c r="Z93" s="2">
        <f t="shared" si="44"/>
        <v>4.2666666666666666</v>
      </c>
      <c r="AA93">
        <v>960</v>
      </c>
      <c r="AB93">
        <v>960</v>
      </c>
      <c r="AC93" s="2">
        <f t="shared" si="45"/>
        <v>1920</v>
      </c>
      <c r="AD93" s="2">
        <f t="shared" si="46"/>
        <v>15360</v>
      </c>
      <c r="AE93" s="2">
        <f t="shared" si="47"/>
        <v>4.2666666666666666</v>
      </c>
      <c r="AF93">
        <v>960</v>
      </c>
      <c r="AG93">
        <v>960</v>
      </c>
      <c r="AH93" s="2">
        <f t="shared" si="48"/>
        <v>1920</v>
      </c>
      <c r="AI93" s="2">
        <f t="shared" si="49"/>
        <v>15360</v>
      </c>
      <c r="AJ93" s="2">
        <f t="shared" si="50"/>
        <v>4.2666666666666666</v>
      </c>
      <c r="AK93">
        <v>1040</v>
      </c>
      <c r="AL93">
        <v>1040</v>
      </c>
      <c r="AM93" s="2">
        <f t="shared" si="51"/>
        <v>2080</v>
      </c>
      <c r="AN93" s="2">
        <f t="shared" si="52"/>
        <v>16640</v>
      </c>
      <c r="AO93" s="2">
        <f t="shared" si="53"/>
        <v>4.6222222222222218</v>
      </c>
      <c r="AP93">
        <v>880</v>
      </c>
      <c r="AQ93">
        <v>880</v>
      </c>
      <c r="AR93" s="2">
        <f t="shared" si="54"/>
        <v>1760</v>
      </c>
      <c r="AS93" s="2">
        <f t="shared" si="55"/>
        <v>14080</v>
      </c>
      <c r="AT93" s="2">
        <f t="shared" si="56"/>
        <v>3.911111111111111</v>
      </c>
      <c r="AU93">
        <v>1040</v>
      </c>
      <c r="AV93">
        <v>1040</v>
      </c>
      <c r="AW93" s="2">
        <f t="shared" si="57"/>
        <v>2080</v>
      </c>
      <c r="AX93" s="2">
        <f t="shared" si="58"/>
        <v>16640</v>
      </c>
      <c r="AY93" s="2">
        <f t="shared" si="59"/>
        <v>4.6222222222222218</v>
      </c>
    </row>
    <row r="94" spans="1:51" x14ac:dyDescent="0.3">
      <c r="A94" s="2" t="s">
        <v>98</v>
      </c>
      <c r="B94">
        <v>1280</v>
      </c>
      <c r="C94">
        <v>1280</v>
      </c>
      <c r="D94" s="2">
        <f t="shared" si="30"/>
        <v>2560</v>
      </c>
      <c r="E94" s="2">
        <f t="shared" si="31"/>
        <v>20480</v>
      </c>
      <c r="F94" s="2">
        <f t="shared" si="32"/>
        <v>5.6888888888888891</v>
      </c>
      <c r="G94">
        <v>800</v>
      </c>
      <c r="H94">
        <v>800</v>
      </c>
      <c r="I94" s="2">
        <f t="shared" si="33"/>
        <v>1600</v>
      </c>
      <c r="J94" s="2">
        <f t="shared" si="34"/>
        <v>12800</v>
      </c>
      <c r="K94" s="2">
        <f t="shared" si="35"/>
        <v>3.5555555555555554</v>
      </c>
      <c r="L94">
        <v>1200</v>
      </c>
      <c r="M94">
        <v>1200</v>
      </c>
      <c r="N94" s="2">
        <f t="shared" si="36"/>
        <v>2400</v>
      </c>
      <c r="O94" s="2">
        <f t="shared" si="37"/>
        <v>19200</v>
      </c>
      <c r="P94" s="2">
        <f t="shared" si="38"/>
        <v>5.333333333333333</v>
      </c>
      <c r="Q94">
        <v>1120</v>
      </c>
      <c r="R94">
        <v>1120</v>
      </c>
      <c r="S94" s="2">
        <f t="shared" si="39"/>
        <v>2240</v>
      </c>
      <c r="T94" s="2">
        <f t="shared" si="40"/>
        <v>17920</v>
      </c>
      <c r="U94" s="2">
        <f t="shared" si="41"/>
        <v>4.9777777777777779</v>
      </c>
      <c r="V94">
        <v>1120</v>
      </c>
      <c r="W94">
        <v>1120</v>
      </c>
      <c r="X94" s="2">
        <f t="shared" si="42"/>
        <v>2240</v>
      </c>
      <c r="Y94" s="2">
        <f t="shared" si="43"/>
        <v>17920</v>
      </c>
      <c r="Z94" s="2">
        <f t="shared" si="44"/>
        <v>4.9777777777777779</v>
      </c>
      <c r="AA94">
        <v>1040</v>
      </c>
      <c r="AB94">
        <v>1040</v>
      </c>
      <c r="AC94" s="2">
        <f t="shared" si="45"/>
        <v>2080</v>
      </c>
      <c r="AD94" s="2">
        <f t="shared" si="46"/>
        <v>16640</v>
      </c>
      <c r="AE94" s="2">
        <f t="shared" si="47"/>
        <v>4.6222222222222218</v>
      </c>
      <c r="AF94">
        <v>1040</v>
      </c>
      <c r="AG94">
        <v>1040</v>
      </c>
      <c r="AH94" s="2">
        <f t="shared" si="48"/>
        <v>2080</v>
      </c>
      <c r="AI94" s="2">
        <f t="shared" si="49"/>
        <v>16640</v>
      </c>
      <c r="AJ94" s="2">
        <f t="shared" si="50"/>
        <v>4.6222222222222218</v>
      </c>
      <c r="AK94">
        <v>1120</v>
      </c>
      <c r="AL94">
        <v>1120</v>
      </c>
      <c r="AM94" s="2">
        <f t="shared" si="51"/>
        <v>2240</v>
      </c>
      <c r="AN94" s="2">
        <f t="shared" si="52"/>
        <v>17920</v>
      </c>
      <c r="AO94" s="2">
        <f t="shared" si="53"/>
        <v>4.9777777777777779</v>
      </c>
      <c r="AP94">
        <v>1120</v>
      </c>
      <c r="AQ94">
        <v>1120</v>
      </c>
      <c r="AR94" s="2">
        <f t="shared" si="54"/>
        <v>2240</v>
      </c>
      <c r="AS94" s="2">
        <f t="shared" si="55"/>
        <v>17920</v>
      </c>
      <c r="AT94" s="2">
        <f t="shared" si="56"/>
        <v>4.9777777777777779</v>
      </c>
      <c r="AU94">
        <v>960</v>
      </c>
      <c r="AV94">
        <v>960</v>
      </c>
      <c r="AW94" s="2">
        <f t="shared" si="57"/>
        <v>1920</v>
      </c>
      <c r="AX94" s="2">
        <f t="shared" si="58"/>
        <v>15360</v>
      </c>
      <c r="AY94" s="2">
        <f t="shared" si="59"/>
        <v>4.2666666666666666</v>
      </c>
    </row>
    <row r="95" spans="1:51" x14ac:dyDescent="0.3">
      <c r="A95" s="2" t="s">
        <v>99</v>
      </c>
      <c r="B95">
        <v>960</v>
      </c>
      <c r="C95">
        <v>960</v>
      </c>
      <c r="D95" s="2">
        <f t="shared" si="30"/>
        <v>1920</v>
      </c>
      <c r="E95" s="2">
        <f t="shared" si="31"/>
        <v>15360</v>
      </c>
      <c r="F95" s="2">
        <f t="shared" si="32"/>
        <v>4.2666666666666666</v>
      </c>
      <c r="G95">
        <v>1200</v>
      </c>
      <c r="H95">
        <v>1200</v>
      </c>
      <c r="I95" s="2">
        <f t="shared" si="33"/>
        <v>2400</v>
      </c>
      <c r="J95" s="2">
        <f t="shared" si="34"/>
        <v>19200</v>
      </c>
      <c r="K95" s="2">
        <f t="shared" si="35"/>
        <v>5.333333333333333</v>
      </c>
      <c r="L95">
        <v>1040</v>
      </c>
      <c r="M95">
        <v>1040</v>
      </c>
      <c r="N95" s="2">
        <f t="shared" si="36"/>
        <v>2080</v>
      </c>
      <c r="O95" s="2">
        <f t="shared" si="37"/>
        <v>16640</v>
      </c>
      <c r="P95" s="2">
        <f t="shared" si="38"/>
        <v>4.6222222222222218</v>
      </c>
      <c r="Q95">
        <v>1120</v>
      </c>
      <c r="R95">
        <v>1120</v>
      </c>
      <c r="S95" s="2">
        <f t="shared" si="39"/>
        <v>2240</v>
      </c>
      <c r="T95" s="2">
        <f t="shared" si="40"/>
        <v>17920</v>
      </c>
      <c r="U95" s="2">
        <f t="shared" si="41"/>
        <v>4.9777777777777779</v>
      </c>
      <c r="V95">
        <v>880</v>
      </c>
      <c r="W95">
        <v>880</v>
      </c>
      <c r="X95" s="2">
        <f t="shared" si="42"/>
        <v>1760</v>
      </c>
      <c r="Y95" s="2">
        <f t="shared" si="43"/>
        <v>14080</v>
      </c>
      <c r="Z95" s="2">
        <f t="shared" si="44"/>
        <v>3.911111111111111</v>
      </c>
      <c r="AA95">
        <v>1120</v>
      </c>
      <c r="AB95">
        <v>1120</v>
      </c>
      <c r="AC95" s="2">
        <f t="shared" si="45"/>
        <v>2240</v>
      </c>
      <c r="AD95" s="2">
        <f t="shared" si="46"/>
        <v>17920</v>
      </c>
      <c r="AE95" s="2">
        <f t="shared" si="47"/>
        <v>4.9777777777777779</v>
      </c>
      <c r="AF95">
        <v>1040</v>
      </c>
      <c r="AG95">
        <v>1040</v>
      </c>
      <c r="AH95" s="2">
        <f t="shared" si="48"/>
        <v>2080</v>
      </c>
      <c r="AI95" s="2">
        <f t="shared" si="49"/>
        <v>16640</v>
      </c>
      <c r="AJ95" s="2">
        <f t="shared" si="50"/>
        <v>4.6222222222222218</v>
      </c>
      <c r="AK95">
        <v>1040</v>
      </c>
      <c r="AL95">
        <v>1040</v>
      </c>
      <c r="AM95" s="2">
        <f t="shared" si="51"/>
        <v>2080</v>
      </c>
      <c r="AN95" s="2">
        <f t="shared" si="52"/>
        <v>16640</v>
      </c>
      <c r="AO95" s="2">
        <f t="shared" si="53"/>
        <v>4.6222222222222218</v>
      </c>
      <c r="AP95">
        <v>880</v>
      </c>
      <c r="AQ95">
        <v>880</v>
      </c>
      <c r="AR95" s="2">
        <f t="shared" si="54"/>
        <v>1760</v>
      </c>
      <c r="AS95" s="2">
        <f t="shared" si="55"/>
        <v>14080</v>
      </c>
      <c r="AT95" s="2">
        <f t="shared" si="56"/>
        <v>3.911111111111111</v>
      </c>
      <c r="AU95">
        <v>960</v>
      </c>
      <c r="AV95">
        <v>960</v>
      </c>
      <c r="AW95" s="2">
        <f t="shared" si="57"/>
        <v>1920</v>
      </c>
      <c r="AX95" s="2">
        <f t="shared" si="58"/>
        <v>15360</v>
      </c>
      <c r="AY95" s="2">
        <f t="shared" si="59"/>
        <v>4.2666666666666666</v>
      </c>
    </row>
    <row r="96" spans="1:51" x14ac:dyDescent="0.3">
      <c r="A96" s="2" t="s">
        <v>100</v>
      </c>
      <c r="B96">
        <v>1280</v>
      </c>
      <c r="C96">
        <v>1280</v>
      </c>
      <c r="D96" s="2">
        <f t="shared" si="30"/>
        <v>2560</v>
      </c>
      <c r="E96" s="2">
        <f t="shared" si="31"/>
        <v>20480</v>
      </c>
      <c r="F96" s="2">
        <f t="shared" si="32"/>
        <v>5.6888888888888891</v>
      </c>
      <c r="G96">
        <v>800</v>
      </c>
      <c r="H96">
        <v>800</v>
      </c>
      <c r="I96" s="2">
        <f t="shared" si="33"/>
        <v>1600</v>
      </c>
      <c r="J96" s="2">
        <f t="shared" si="34"/>
        <v>12800</v>
      </c>
      <c r="K96" s="2">
        <f t="shared" si="35"/>
        <v>3.5555555555555554</v>
      </c>
      <c r="L96">
        <v>1040</v>
      </c>
      <c r="M96">
        <v>1040</v>
      </c>
      <c r="N96" s="2">
        <f t="shared" si="36"/>
        <v>2080</v>
      </c>
      <c r="O96" s="2">
        <f t="shared" si="37"/>
        <v>16640</v>
      </c>
      <c r="P96" s="2">
        <f t="shared" si="38"/>
        <v>4.6222222222222218</v>
      </c>
      <c r="Q96">
        <v>1040</v>
      </c>
      <c r="R96">
        <v>1040</v>
      </c>
      <c r="S96" s="2">
        <f t="shared" si="39"/>
        <v>2080</v>
      </c>
      <c r="T96" s="2">
        <f t="shared" si="40"/>
        <v>16640</v>
      </c>
      <c r="U96" s="2">
        <f t="shared" si="41"/>
        <v>4.6222222222222218</v>
      </c>
      <c r="V96">
        <v>1120</v>
      </c>
      <c r="W96">
        <v>1120</v>
      </c>
      <c r="X96" s="2">
        <f t="shared" si="42"/>
        <v>2240</v>
      </c>
      <c r="Y96" s="2">
        <f t="shared" si="43"/>
        <v>17920</v>
      </c>
      <c r="Z96" s="2">
        <f t="shared" si="44"/>
        <v>4.9777777777777779</v>
      </c>
      <c r="AA96">
        <v>1040</v>
      </c>
      <c r="AB96">
        <v>1040</v>
      </c>
      <c r="AC96" s="2">
        <f t="shared" si="45"/>
        <v>2080</v>
      </c>
      <c r="AD96" s="2">
        <f t="shared" si="46"/>
        <v>16640</v>
      </c>
      <c r="AE96" s="2">
        <f t="shared" si="47"/>
        <v>4.6222222222222218</v>
      </c>
      <c r="AF96">
        <v>1120</v>
      </c>
      <c r="AG96">
        <v>1120</v>
      </c>
      <c r="AH96" s="2">
        <f t="shared" si="48"/>
        <v>2240</v>
      </c>
      <c r="AI96" s="2">
        <f t="shared" si="49"/>
        <v>17920</v>
      </c>
      <c r="AJ96" s="2">
        <f t="shared" si="50"/>
        <v>4.9777777777777779</v>
      </c>
      <c r="AK96">
        <v>1280</v>
      </c>
      <c r="AL96">
        <v>1280</v>
      </c>
      <c r="AM96" s="2">
        <f t="shared" si="51"/>
        <v>2560</v>
      </c>
      <c r="AN96" s="2">
        <f t="shared" si="52"/>
        <v>20480</v>
      </c>
      <c r="AO96" s="2">
        <f t="shared" si="53"/>
        <v>5.6888888888888891</v>
      </c>
      <c r="AP96">
        <v>1040</v>
      </c>
      <c r="AQ96">
        <v>1040</v>
      </c>
      <c r="AR96" s="2">
        <f t="shared" si="54"/>
        <v>2080</v>
      </c>
      <c r="AS96" s="2">
        <f t="shared" si="55"/>
        <v>16640</v>
      </c>
      <c r="AT96" s="2">
        <f t="shared" si="56"/>
        <v>4.6222222222222218</v>
      </c>
      <c r="AU96">
        <v>1040</v>
      </c>
      <c r="AV96">
        <v>1040</v>
      </c>
      <c r="AW96" s="2">
        <f t="shared" si="57"/>
        <v>2080</v>
      </c>
      <c r="AX96" s="2">
        <f t="shared" si="58"/>
        <v>16640</v>
      </c>
      <c r="AY96" s="2">
        <f t="shared" si="59"/>
        <v>4.6222222222222218</v>
      </c>
    </row>
    <row r="97" spans="1:51" x14ac:dyDescent="0.3">
      <c r="A97" s="2" t="s">
        <v>101</v>
      </c>
      <c r="B97">
        <v>880</v>
      </c>
      <c r="C97">
        <v>880</v>
      </c>
      <c r="D97" s="2">
        <f t="shared" si="30"/>
        <v>1760</v>
      </c>
      <c r="E97" s="2">
        <f t="shared" si="31"/>
        <v>14080</v>
      </c>
      <c r="F97" s="2">
        <f t="shared" si="32"/>
        <v>3.911111111111111</v>
      </c>
      <c r="G97">
        <v>1040</v>
      </c>
      <c r="H97">
        <v>1040</v>
      </c>
      <c r="I97" s="2">
        <f t="shared" si="33"/>
        <v>2080</v>
      </c>
      <c r="J97" s="2">
        <f t="shared" si="34"/>
        <v>16640</v>
      </c>
      <c r="K97" s="2">
        <f t="shared" si="35"/>
        <v>4.6222222222222218</v>
      </c>
      <c r="L97">
        <v>1040</v>
      </c>
      <c r="M97">
        <v>1040</v>
      </c>
      <c r="N97" s="2">
        <f t="shared" si="36"/>
        <v>2080</v>
      </c>
      <c r="O97" s="2">
        <f t="shared" si="37"/>
        <v>16640</v>
      </c>
      <c r="P97" s="2">
        <f t="shared" si="38"/>
        <v>4.6222222222222218</v>
      </c>
      <c r="Q97">
        <v>1200</v>
      </c>
      <c r="R97">
        <v>1200</v>
      </c>
      <c r="S97" s="2">
        <f t="shared" si="39"/>
        <v>2400</v>
      </c>
      <c r="T97" s="2">
        <f t="shared" si="40"/>
        <v>19200</v>
      </c>
      <c r="U97" s="2">
        <f t="shared" si="41"/>
        <v>5.333333333333333</v>
      </c>
      <c r="V97">
        <v>1200</v>
      </c>
      <c r="W97">
        <v>1200</v>
      </c>
      <c r="X97" s="2">
        <f t="shared" si="42"/>
        <v>2400</v>
      </c>
      <c r="Y97" s="2">
        <f t="shared" si="43"/>
        <v>19200</v>
      </c>
      <c r="Z97" s="2">
        <f t="shared" si="44"/>
        <v>5.333333333333333</v>
      </c>
      <c r="AA97">
        <v>800</v>
      </c>
      <c r="AB97">
        <v>800</v>
      </c>
      <c r="AC97" s="2">
        <f t="shared" si="45"/>
        <v>1600</v>
      </c>
      <c r="AD97" s="2">
        <f t="shared" si="46"/>
        <v>12800</v>
      </c>
      <c r="AE97" s="2">
        <f t="shared" si="47"/>
        <v>3.5555555555555554</v>
      </c>
      <c r="AF97">
        <v>960</v>
      </c>
      <c r="AG97">
        <v>960</v>
      </c>
      <c r="AH97" s="2">
        <f t="shared" si="48"/>
        <v>1920</v>
      </c>
      <c r="AI97" s="2">
        <f t="shared" si="49"/>
        <v>15360</v>
      </c>
      <c r="AJ97" s="2">
        <f t="shared" si="50"/>
        <v>4.2666666666666666</v>
      </c>
      <c r="AK97">
        <v>1120</v>
      </c>
      <c r="AL97">
        <v>1120</v>
      </c>
      <c r="AM97" s="2">
        <f t="shared" si="51"/>
        <v>2240</v>
      </c>
      <c r="AN97" s="2">
        <f t="shared" si="52"/>
        <v>17920</v>
      </c>
      <c r="AO97" s="2">
        <f t="shared" si="53"/>
        <v>4.9777777777777779</v>
      </c>
      <c r="AP97">
        <v>1120</v>
      </c>
      <c r="AQ97">
        <v>1120</v>
      </c>
      <c r="AR97" s="2">
        <f t="shared" si="54"/>
        <v>2240</v>
      </c>
      <c r="AS97" s="2">
        <f t="shared" si="55"/>
        <v>17920</v>
      </c>
      <c r="AT97" s="2">
        <f t="shared" si="56"/>
        <v>4.9777777777777779</v>
      </c>
      <c r="AU97">
        <v>1040</v>
      </c>
      <c r="AV97">
        <v>1040</v>
      </c>
      <c r="AW97" s="2">
        <f t="shared" si="57"/>
        <v>2080</v>
      </c>
      <c r="AX97" s="2">
        <f t="shared" si="58"/>
        <v>16640</v>
      </c>
      <c r="AY97" s="2">
        <f t="shared" si="59"/>
        <v>4.6222222222222218</v>
      </c>
    </row>
    <row r="98" spans="1:51" x14ac:dyDescent="0.3">
      <c r="A98" s="2" t="s">
        <v>102</v>
      </c>
      <c r="B98">
        <v>1040</v>
      </c>
      <c r="C98">
        <v>1040</v>
      </c>
      <c r="D98" s="2">
        <f t="shared" si="30"/>
        <v>2080</v>
      </c>
      <c r="E98" s="2">
        <f t="shared" si="31"/>
        <v>16640</v>
      </c>
      <c r="F98" s="2">
        <f t="shared" si="32"/>
        <v>4.6222222222222218</v>
      </c>
      <c r="G98">
        <v>1040</v>
      </c>
      <c r="H98">
        <v>1040</v>
      </c>
      <c r="I98" s="2">
        <f t="shared" si="33"/>
        <v>2080</v>
      </c>
      <c r="J98" s="2">
        <f t="shared" si="34"/>
        <v>16640</v>
      </c>
      <c r="K98" s="2">
        <f t="shared" si="35"/>
        <v>4.6222222222222218</v>
      </c>
      <c r="L98">
        <v>1040</v>
      </c>
      <c r="M98">
        <v>1040</v>
      </c>
      <c r="N98" s="2">
        <f t="shared" si="36"/>
        <v>2080</v>
      </c>
      <c r="O98" s="2">
        <f t="shared" si="37"/>
        <v>16640</v>
      </c>
      <c r="P98" s="2">
        <f t="shared" si="38"/>
        <v>4.6222222222222218</v>
      </c>
      <c r="Q98">
        <v>1200</v>
      </c>
      <c r="R98">
        <v>1200</v>
      </c>
      <c r="S98" s="2">
        <f t="shared" si="39"/>
        <v>2400</v>
      </c>
      <c r="T98" s="2">
        <f t="shared" si="40"/>
        <v>19200</v>
      </c>
      <c r="U98" s="2">
        <f t="shared" si="41"/>
        <v>5.333333333333333</v>
      </c>
      <c r="V98">
        <v>960</v>
      </c>
      <c r="W98">
        <v>960</v>
      </c>
      <c r="X98" s="2">
        <f t="shared" si="42"/>
        <v>1920</v>
      </c>
      <c r="Y98" s="2">
        <f t="shared" si="43"/>
        <v>15360</v>
      </c>
      <c r="Z98" s="2">
        <f t="shared" si="44"/>
        <v>4.2666666666666666</v>
      </c>
      <c r="AA98">
        <v>1120</v>
      </c>
      <c r="AB98">
        <v>1120</v>
      </c>
      <c r="AC98" s="2">
        <f t="shared" si="45"/>
        <v>2240</v>
      </c>
      <c r="AD98" s="2">
        <f t="shared" si="46"/>
        <v>17920</v>
      </c>
      <c r="AE98" s="2">
        <f t="shared" si="47"/>
        <v>4.9777777777777779</v>
      </c>
      <c r="AF98">
        <v>1120</v>
      </c>
      <c r="AG98">
        <v>1120</v>
      </c>
      <c r="AH98" s="2">
        <f t="shared" si="48"/>
        <v>2240</v>
      </c>
      <c r="AI98" s="2">
        <f t="shared" si="49"/>
        <v>17920</v>
      </c>
      <c r="AJ98" s="2">
        <f t="shared" si="50"/>
        <v>4.9777777777777779</v>
      </c>
      <c r="AK98">
        <v>1120</v>
      </c>
      <c r="AL98">
        <v>1120</v>
      </c>
      <c r="AM98" s="2">
        <f t="shared" si="51"/>
        <v>2240</v>
      </c>
      <c r="AN98" s="2">
        <f t="shared" si="52"/>
        <v>17920</v>
      </c>
      <c r="AO98" s="2">
        <f t="shared" si="53"/>
        <v>4.9777777777777779</v>
      </c>
      <c r="AP98">
        <v>960</v>
      </c>
      <c r="AQ98">
        <v>960</v>
      </c>
      <c r="AR98" s="2">
        <f t="shared" si="54"/>
        <v>1920</v>
      </c>
      <c r="AS98" s="2">
        <f t="shared" si="55"/>
        <v>15360</v>
      </c>
      <c r="AT98" s="2">
        <f t="shared" si="56"/>
        <v>4.2666666666666666</v>
      </c>
      <c r="AU98">
        <v>1120</v>
      </c>
      <c r="AV98">
        <v>1120</v>
      </c>
      <c r="AW98" s="2">
        <f t="shared" si="57"/>
        <v>2240</v>
      </c>
      <c r="AX98" s="2">
        <f t="shared" si="58"/>
        <v>17920</v>
      </c>
      <c r="AY98" s="2">
        <f t="shared" si="59"/>
        <v>4.9777777777777779</v>
      </c>
    </row>
    <row r="99" spans="1:51" x14ac:dyDescent="0.3">
      <c r="A99" s="2" t="s">
        <v>103</v>
      </c>
      <c r="B99">
        <v>1120</v>
      </c>
      <c r="C99">
        <v>1120</v>
      </c>
      <c r="D99" s="2">
        <f t="shared" si="30"/>
        <v>2240</v>
      </c>
      <c r="E99" s="2">
        <f t="shared" si="31"/>
        <v>17920</v>
      </c>
      <c r="F99" s="2">
        <f t="shared" si="32"/>
        <v>4.9777777777777779</v>
      </c>
      <c r="G99">
        <v>960</v>
      </c>
      <c r="H99">
        <v>960</v>
      </c>
      <c r="I99" s="2">
        <f t="shared" si="33"/>
        <v>1920</v>
      </c>
      <c r="J99" s="2">
        <f t="shared" si="34"/>
        <v>15360</v>
      </c>
      <c r="K99" s="2">
        <f t="shared" si="35"/>
        <v>4.2666666666666666</v>
      </c>
      <c r="L99">
        <v>1120</v>
      </c>
      <c r="M99">
        <v>1120</v>
      </c>
      <c r="N99" s="2">
        <f t="shared" si="36"/>
        <v>2240</v>
      </c>
      <c r="O99" s="2">
        <f t="shared" si="37"/>
        <v>17920</v>
      </c>
      <c r="P99" s="2">
        <f t="shared" si="38"/>
        <v>4.9777777777777779</v>
      </c>
      <c r="Q99">
        <v>1040</v>
      </c>
      <c r="R99">
        <v>1040</v>
      </c>
      <c r="S99" s="2">
        <f t="shared" si="39"/>
        <v>2080</v>
      </c>
      <c r="T99" s="2">
        <f t="shared" si="40"/>
        <v>16640</v>
      </c>
      <c r="U99" s="2">
        <f t="shared" si="41"/>
        <v>4.6222222222222218</v>
      </c>
      <c r="V99">
        <v>1040</v>
      </c>
      <c r="W99">
        <v>1040</v>
      </c>
      <c r="X99" s="2">
        <f t="shared" si="42"/>
        <v>2080</v>
      </c>
      <c r="Y99" s="2">
        <f t="shared" si="43"/>
        <v>16640</v>
      </c>
      <c r="Z99" s="2">
        <f t="shared" si="44"/>
        <v>4.6222222222222218</v>
      </c>
      <c r="AA99">
        <v>960</v>
      </c>
      <c r="AB99">
        <v>960</v>
      </c>
      <c r="AC99" s="2">
        <f t="shared" si="45"/>
        <v>1920</v>
      </c>
      <c r="AD99" s="2">
        <f t="shared" si="46"/>
        <v>15360</v>
      </c>
      <c r="AE99" s="2">
        <f t="shared" si="47"/>
        <v>4.2666666666666666</v>
      </c>
      <c r="AF99">
        <v>960</v>
      </c>
      <c r="AG99">
        <v>960</v>
      </c>
      <c r="AH99" s="2">
        <f t="shared" si="48"/>
        <v>1920</v>
      </c>
      <c r="AI99" s="2">
        <f t="shared" si="49"/>
        <v>15360</v>
      </c>
      <c r="AJ99" s="2">
        <f t="shared" si="50"/>
        <v>4.2666666666666666</v>
      </c>
      <c r="AK99">
        <v>1120</v>
      </c>
      <c r="AL99">
        <v>1120</v>
      </c>
      <c r="AM99" s="2">
        <f t="shared" si="51"/>
        <v>2240</v>
      </c>
      <c r="AN99" s="2">
        <f t="shared" si="52"/>
        <v>17920</v>
      </c>
      <c r="AO99" s="2">
        <f t="shared" si="53"/>
        <v>4.9777777777777779</v>
      </c>
      <c r="AP99">
        <v>960</v>
      </c>
      <c r="AQ99">
        <v>960</v>
      </c>
      <c r="AR99" s="2">
        <f t="shared" si="54"/>
        <v>1920</v>
      </c>
      <c r="AS99" s="2">
        <f t="shared" si="55"/>
        <v>15360</v>
      </c>
      <c r="AT99" s="2">
        <f t="shared" si="56"/>
        <v>4.2666666666666666</v>
      </c>
      <c r="AU99">
        <v>1120</v>
      </c>
      <c r="AV99">
        <v>1120</v>
      </c>
      <c r="AW99" s="2">
        <f t="shared" si="57"/>
        <v>2240</v>
      </c>
      <c r="AX99" s="2">
        <f t="shared" si="58"/>
        <v>17920</v>
      </c>
      <c r="AY99" s="2">
        <f t="shared" si="59"/>
        <v>4.9777777777777779</v>
      </c>
    </row>
    <row r="100" spans="1:51" x14ac:dyDescent="0.3">
      <c r="A100" s="2" t="s">
        <v>104</v>
      </c>
      <c r="B100">
        <v>1040</v>
      </c>
      <c r="C100">
        <v>1040</v>
      </c>
      <c r="D100" s="2">
        <f t="shared" si="30"/>
        <v>2080</v>
      </c>
      <c r="E100" s="2">
        <f t="shared" si="31"/>
        <v>16640</v>
      </c>
      <c r="F100" s="2">
        <f t="shared" si="32"/>
        <v>4.6222222222222218</v>
      </c>
      <c r="G100">
        <v>1040</v>
      </c>
      <c r="H100">
        <v>1040</v>
      </c>
      <c r="I100" s="2">
        <f t="shared" si="33"/>
        <v>2080</v>
      </c>
      <c r="J100" s="2">
        <f t="shared" si="34"/>
        <v>16640</v>
      </c>
      <c r="K100" s="2">
        <f t="shared" si="35"/>
        <v>4.6222222222222218</v>
      </c>
      <c r="L100">
        <v>1120</v>
      </c>
      <c r="M100">
        <v>1120</v>
      </c>
      <c r="N100" s="2">
        <f t="shared" si="36"/>
        <v>2240</v>
      </c>
      <c r="O100" s="2">
        <f t="shared" si="37"/>
        <v>17920</v>
      </c>
      <c r="P100" s="2">
        <f t="shared" si="38"/>
        <v>4.9777777777777779</v>
      </c>
      <c r="Q100">
        <v>1120</v>
      </c>
      <c r="R100">
        <v>1120</v>
      </c>
      <c r="S100" s="2">
        <f t="shared" si="39"/>
        <v>2240</v>
      </c>
      <c r="T100" s="2">
        <f t="shared" si="40"/>
        <v>17920</v>
      </c>
      <c r="U100" s="2">
        <f t="shared" si="41"/>
        <v>4.9777777777777779</v>
      </c>
      <c r="V100">
        <v>1120</v>
      </c>
      <c r="W100">
        <v>1120</v>
      </c>
      <c r="X100" s="2">
        <f t="shared" si="42"/>
        <v>2240</v>
      </c>
      <c r="Y100" s="2">
        <f t="shared" si="43"/>
        <v>17920</v>
      </c>
      <c r="Z100" s="2">
        <f t="shared" si="44"/>
        <v>4.9777777777777779</v>
      </c>
      <c r="AA100">
        <v>1120</v>
      </c>
      <c r="AB100">
        <v>1120</v>
      </c>
      <c r="AC100" s="2">
        <f t="shared" si="45"/>
        <v>2240</v>
      </c>
      <c r="AD100" s="2">
        <f t="shared" si="46"/>
        <v>17920</v>
      </c>
      <c r="AE100" s="2">
        <f t="shared" si="47"/>
        <v>4.9777777777777779</v>
      </c>
      <c r="AF100">
        <v>1280</v>
      </c>
      <c r="AG100">
        <v>1280</v>
      </c>
      <c r="AH100" s="2">
        <f t="shared" si="48"/>
        <v>2560</v>
      </c>
      <c r="AI100" s="2">
        <f t="shared" si="49"/>
        <v>20480</v>
      </c>
      <c r="AJ100" s="2">
        <f t="shared" si="50"/>
        <v>5.6888888888888891</v>
      </c>
      <c r="AK100">
        <v>960</v>
      </c>
      <c r="AL100">
        <v>960</v>
      </c>
      <c r="AM100" s="2">
        <f t="shared" si="51"/>
        <v>1920</v>
      </c>
      <c r="AN100" s="2">
        <f t="shared" si="52"/>
        <v>15360</v>
      </c>
      <c r="AO100" s="2">
        <f t="shared" si="53"/>
        <v>4.2666666666666666</v>
      </c>
      <c r="AP100">
        <v>1280</v>
      </c>
      <c r="AQ100">
        <v>1280</v>
      </c>
      <c r="AR100" s="2">
        <f t="shared" si="54"/>
        <v>2560</v>
      </c>
      <c r="AS100" s="2">
        <f t="shared" si="55"/>
        <v>20480</v>
      </c>
      <c r="AT100" s="2">
        <f t="shared" si="56"/>
        <v>5.6888888888888891</v>
      </c>
      <c r="AU100">
        <v>880</v>
      </c>
      <c r="AV100">
        <v>880</v>
      </c>
      <c r="AW100" s="2">
        <f t="shared" si="57"/>
        <v>1760</v>
      </c>
      <c r="AX100" s="2">
        <f t="shared" si="58"/>
        <v>14080</v>
      </c>
      <c r="AY100" s="2">
        <f t="shared" si="59"/>
        <v>3.911111111111111</v>
      </c>
    </row>
    <row r="101" spans="1:51" x14ac:dyDescent="0.3">
      <c r="A101" s="2" t="s">
        <v>105</v>
      </c>
      <c r="B101">
        <v>1120</v>
      </c>
      <c r="C101">
        <v>1120</v>
      </c>
      <c r="D101" s="2">
        <f t="shared" si="30"/>
        <v>2240</v>
      </c>
      <c r="E101" s="2">
        <f t="shared" si="31"/>
        <v>17920</v>
      </c>
      <c r="F101" s="2">
        <f t="shared" si="32"/>
        <v>4.9777777777777779</v>
      </c>
      <c r="G101">
        <v>1040</v>
      </c>
      <c r="H101">
        <v>1040</v>
      </c>
      <c r="I101" s="2">
        <f t="shared" si="33"/>
        <v>2080</v>
      </c>
      <c r="J101" s="2">
        <f t="shared" si="34"/>
        <v>16640</v>
      </c>
      <c r="K101" s="2">
        <f t="shared" si="35"/>
        <v>4.6222222222222218</v>
      </c>
      <c r="L101">
        <v>1120</v>
      </c>
      <c r="M101">
        <v>1120</v>
      </c>
      <c r="N101" s="2">
        <f t="shared" si="36"/>
        <v>2240</v>
      </c>
      <c r="O101" s="2">
        <f t="shared" si="37"/>
        <v>17920</v>
      </c>
      <c r="P101" s="2">
        <f t="shared" si="38"/>
        <v>4.9777777777777779</v>
      </c>
      <c r="Q101">
        <v>1040</v>
      </c>
      <c r="R101">
        <v>1040</v>
      </c>
      <c r="S101" s="2">
        <f t="shared" si="39"/>
        <v>2080</v>
      </c>
      <c r="T101" s="2">
        <f t="shared" si="40"/>
        <v>16640</v>
      </c>
      <c r="U101" s="2">
        <f t="shared" si="41"/>
        <v>4.6222222222222218</v>
      </c>
      <c r="V101">
        <v>1120</v>
      </c>
      <c r="W101">
        <v>1120</v>
      </c>
      <c r="X101" s="2">
        <f t="shared" si="42"/>
        <v>2240</v>
      </c>
      <c r="Y101" s="2">
        <f t="shared" si="43"/>
        <v>17920</v>
      </c>
      <c r="Z101" s="2">
        <f t="shared" si="44"/>
        <v>4.9777777777777779</v>
      </c>
      <c r="AA101">
        <v>1120</v>
      </c>
      <c r="AB101">
        <v>1120</v>
      </c>
      <c r="AC101" s="2">
        <f t="shared" si="45"/>
        <v>2240</v>
      </c>
      <c r="AD101" s="2">
        <f t="shared" si="46"/>
        <v>17920</v>
      </c>
      <c r="AE101" s="2">
        <f t="shared" si="47"/>
        <v>4.9777777777777779</v>
      </c>
      <c r="AF101">
        <v>960</v>
      </c>
      <c r="AG101">
        <v>960</v>
      </c>
      <c r="AH101" s="2">
        <f t="shared" si="48"/>
        <v>1920</v>
      </c>
      <c r="AI101" s="2">
        <f t="shared" si="49"/>
        <v>15360</v>
      </c>
      <c r="AJ101" s="2">
        <f t="shared" si="50"/>
        <v>4.2666666666666666</v>
      </c>
      <c r="AK101">
        <v>1120</v>
      </c>
      <c r="AL101">
        <v>1120</v>
      </c>
      <c r="AM101" s="2">
        <f t="shared" si="51"/>
        <v>2240</v>
      </c>
      <c r="AN101" s="2">
        <f t="shared" si="52"/>
        <v>17920</v>
      </c>
      <c r="AO101" s="2">
        <f t="shared" si="53"/>
        <v>4.9777777777777779</v>
      </c>
      <c r="AP101">
        <v>1120</v>
      </c>
      <c r="AQ101">
        <v>1120</v>
      </c>
      <c r="AR101" s="2">
        <f t="shared" si="54"/>
        <v>2240</v>
      </c>
      <c r="AS101" s="2">
        <f t="shared" si="55"/>
        <v>17920</v>
      </c>
      <c r="AT101" s="2">
        <f t="shared" si="56"/>
        <v>4.9777777777777779</v>
      </c>
      <c r="AU101">
        <v>1120</v>
      </c>
      <c r="AV101">
        <v>1120</v>
      </c>
      <c r="AW101" s="2">
        <f t="shared" si="57"/>
        <v>2240</v>
      </c>
      <c r="AX101" s="2">
        <f t="shared" si="58"/>
        <v>17920</v>
      </c>
      <c r="AY101" s="2">
        <f t="shared" si="59"/>
        <v>4.9777777777777779</v>
      </c>
    </row>
    <row r="102" spans="1:51" x14ac:dyDescent="0.3">
      <c r="A102" s="2" t="s">
        <v>106</v>
      </c>
      <c r="B102">
        <v>960</v>
      </c>
      <c r="C102">
        <v>960</v>
      </c>
      <c r="D102" s="2">
        <f t="shared" si="30"/>
        <v>1920</v>
      </c>
      <c r="E102" s="2">
        <f t="shared" si="31"/>
        <v>15360</v>
      </c>
      <c r="F102" s="2">
        <f t="shared" si="32"/>
        <v>4.2666666666666666</v>
      </c>
      <c r="G102">
        <v>1280</v>
      </c>
      <c r="H102">
        <v>1280</v>
      </c>
      <c r="I102" s="2">
        <f t="shared" si="33"/>
        <v>2560</v>
      </c>
      <c r="J102" s="2">
        <f t="shared" si="34"/>
        <v>20480</v>
      </c>
      <c r="K102" s="2">
        <f t="shared" si="35"/>
        <v>5.6888888888888891</v>
      </c>
      <c r="L102">
        <v>1040</v>
      </c>
      <c r="M102">
        <v>1040</v>
      </c>
      <c r="N102" s="2">
        <f t="shared" si="36"/>
        <v>2080</v>
      </c>
      <c r="O102" s="2">
        <f t="shared" si="37"/>
        <v>16640</v>
      </c>
      <c r="P102" s="2">
        <f t="shared" si="38"/>
        <v>4.6222222222222218</v>
      </c>
      <c r="Q102">
        <v>1120</v>
      </c>
      <c r="R102">
        <v>1120</v>
      </c>
      <c r="S102" s="2">
        <f t="shared" si="39"/>
        <v>2240</v>
      </c>
      <c r="T102" s="2">
        <f t="shared" si="40"/>
        <v>17920</v>
      </c>
      <c r="U102" s="2">
        <f t="shared" si="41"/>
        <v>4.9777777777777779</v>
      </c>
      <c r="V102">
        <v>1040</v>
      </c>
      <c r="W102">
        <v>1040</v>
      </c>
      <c r="X102" s="2">
        <f t="shared" si="42"/>
        <v>2080</v>
      </c>
      <c r="Y102" s="2">
        <f t="shared" si="43"/>
        <v>16640</v>
      </c>
      <c r="Z102" s="2">
        <f t="shared" si="44"/>
        <v>4.6222222222222218</v>
      </c>
      <c r="AA102">
        <v>1200</v>
      </c>
      <c r="AB102">
        <v>1200</v>
      </c>
      <c r="AC102" s="2">
        <f t="shared" si="45"/>
        <v>2400</v>
      </c>
      <c r="AD102" s="2">
        <f t="shared" si="46"/>
        <v>19200</v>
      </c>
      <c r="AE102" s="2">
        <f t="shared" si="47"/>
        <v>5.333333333333333</v>
      </c>
      <c r="AF102">
        <v>880</v>
      </c>
      <c r="AG102">
        <v>880</v>
      </c>
      <c r="AH102" s="2">
        <f t="shared" si="48"/>
        <v>1760</v>
      </c>
      <c r="AI102" s="2">
        <f t="shared" si="49"/>
        <v>14080</v>
      </c>
      <c r="AJ102" s="2">
        <f t="shared" si="50"/>
        <v>3.911111111111111</v>
      </c>
      <c r="AK102">
        <v>1120</v>
      </c>
      <c r="AL102">
        <v>1120</v>
      </c>
      <c r="AM102" s="2">
        <f t="shared" si="51"/>
        <v>2240</v>
      </c>
      <c r="AN102" s="2">
        <f t="shared" si="52"/>
        <v>17920</v>
      </c>
      <c r="AO102" s="2">
        <f t="shared" si="53"/>
        <v>4.9777777777777779</v>
      </c>
      <c r="AP102">
        <v>1120</v>
      </c>
      <c r="AQ102">
        <v>1120</v>
      </c>
      <c r="AR102" s="2">
        <f t="shared" si="54"/>
        <v>2240</v>
      </c>
      <c r="AS102" s="2">
        <f t="shared" si="55"/>
        <v>17920</v>
      </c>
      <c r="AT102" s="2">
        <f t="shared" si="56"/>
        <v>4.9777777777777779</v>
      </c>
      <c r="AU102">
        <v>1120</v>
      </c>
      <c r="AV102">
        <v>1120</v>
      </c>
      <c r="AW102" s="2">
        <f t="shared" si="57"/>
        <v>2240</v>
      </c>
      <c r="AX102" s="2">
        <f t="shared" si="58"/>
        <v>17920</v>
      </c>
      <c r="AY102" s="2">
        <f t="shared" si="59"/>
        <v>4.9777777777777779</v>
      </c>
    </row>
    <row r="103" spans="1:51" x14ac:dyDescent="0.3">
      <c r="A103" s="2" t="s">
        <v>107</v>
      </c>
      <c r="F103" s="2">
        <f>AVERAGE(F3:F102)</f>
        <v>4.7039999999999944</v>
      </c>
      <c r="K103" s="2">
        <f>AVERAGE(K3:K102)</f>
        <v>4.7039999999999944</v>
      </c>
      <c r="P103" s="2">
        <f>AVERAGE(P3:P102)</f>
        <v>4.7039999999999935</v>
      </c>
      <c r="U103" s="2">
        <f>AVERAGE(U3:U102)</f>
        <v>4.7893333333333272</v>
      </c>
      <c r="Z103" s="2">
        <f>AVERAGE(Z3:Z102)</f>
        <v>4.6826666666666608</v>
      </c>
      <c r="AE103" s="2">
        <f>AVERAGE(AE3:AE102)</f>
        <v>4.8035555555555502</v>
      </c>
      <c r="AJ103" s="2">
        <f>AVERAGE(AJ3:AJ102)</f>
        <v>4.7679999999999945</v>
      </c>
      <c r="AO103" s="2">
        <f>AVERAGE(AO3:AO102)</f>
        <v>4.6648888888888838</v>
      </c>
      <c r="AT103" s="2">
        <f>AVERAGE(AT3:AT102)</f>
        <v>4.7466666666666608</v>
      </c>
      <c r="AY103" s="2">
        <f>AVERAGE(AY3:AY102)</f>
        <v>4.7146666666666617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topLeftCell="A7" workbookViewId="0">
      <selection activeCell="K20" sqref="K20"/>
    </sheetView>
  </sheetViews>
  <sheetFormatPr defaultRowHeight="13.8" x14ac:dyDescent="0.25"/>
  <cols>
    <col min="1" max="1" width="19.44140625" style="2" customWidth="1"/>
    <col min="2" max="2" width="13.21875" style="2" customWidth="1"/>
    <col min="3" max="3" width="12.44140625" style="2" customWidth="1"/>
    <col min="4" max="4" width="11.21875" style="2" customWidth="1"/>
    <col min="5" max="6" width="11.6640625" style="2" customWidth="1"/>
    <col min="7" max="7" width="11.5546875" style="2" customWidth="1"/>
    <col min="8" max="8" width="11.6640625" style="2" customWidth="1"/>
    <col min="9" max="9" width="12.5546875" style="2" customWidth="1"/>
    <col min="10" max="10" width="12.33203125" style="2" customWidth="1"/>
    <col min="11" max="11" width="11.109375" style="2" customWidth="1"/>
    <col min="12" max="16384" width="8.88671875" style="2"/>
  </cols>
  <sheetData>
    <row r="1" spans="1:11" x14ac:dyDescent="0.25">
      <c r="B1" s="3" t="s">
        <v>126</v>
      </c>
      <c r="C1" s="3" t="s">
        <v>127</v>
      </c>
      <c r="D1" s="3" t="s">
        <v>128</v>
      </c>
      <c r="E1" s="3" t="s">
        <v>129</v>
      </c>
      <c r="F1" s="3" t="s">
        <v>130</v>
      </c>
      <c r="G1" s="3" t="s">
        <v>131</v>
      </c>
      <c r="H1" s="3" t="s">
        <v>132</v>
      </c>
      <c r="I1" s="3" t="s">
        <v>133</v>
      </c>
      <c r="J1" s="3" t="s">
        <v>134</v>
      </c>
      <c r="K1" s="3" t="s">
        <v>135</v>
      </c>
    </row>
    <row r="2" spans="1:11" ht="27.6" x14ac:dyDescent="0.25">
      <c r="A2" s="1" t="s">
        <v>145</v>
      </c>
      <c r="B2" s="2">
        <f>(4.66133333333333*100)</f>
        <v>466.13333333333298</v>
      </c>
      <c r="C2" s="2">
        <f>(4.72177777777777*100)</f>
        <v>472.17777777777695</v>
      </c>
      <c r="D2" s="2">
        <f>(4.69333333333333*100)</f>
        <v>469.33333333333297</v>
      </c>
      <c r="E2" s="2">
        <f>(4.73599999999999*100)</f>
        <v>473.599999999999</v>
      </c>
      <c r="F2" s="2">
        <f>(4.73599999999999*100)</f>
        <v>473.599999999999</v>
      </c>
      <c r="G2" s="2">
        <f>(4.74666666666666*100)</f>
        <v>474.666666666666</v>
      </c>
      <c r="H2" s="2">
        <f>(4.70755555555555*100)</f>
        <v>470.75555555555502</v>
      </c>
      <c r="I2" s="2">
        <f>(4.73955555555555*100)</f>
        <v>473.95555555555501</v>
      </c>
      <c r="J2" s="2">
        <f>(4.71822222222222*100)</f>
        <v>471.82222222222202</v>
      </c>
      <c r="K2" s="8">
        <f>(4.76444444444444*100)</f>
        <v>476.44444444444395</v>
      </c>
    </row>
    <row r="3" spans="1:11" ht="27.6" x14ac:dyDescent="0.25">
      <c r="A3" s="1" t="s">
        <v>138</v>
      </c>
      <c r="B3" s="2">
        <f>(4.75022222222222*100)</f>
        <v>475.02222222222201</v>
      </c>
      <c r="C3" s="2">
        <f>(4.70399999999999*100)</f>
        <v>470.39999999999901</v>
      </c>
      <c r="D3" s="2">
        <f>(4.72888888888888*100)</f>
        <v>472.888888888888</v>
      </c>
      <c r="E3" s="2">
        <f>(4.73244444444444*100)</f>
        <v>473.24444444444396</v>
      </c>
      <c r="F3" s="2">
        <f>(4.71822222222222*100)</f>
        <v>471.82222222222202</v>
      </c>
      <c r="G3" s="2">
        <f>(4.67199999999999*100)</f>
        <v>467.19999999999902</v>
      </c>
      <c r="H3" s="2">
        <f>(4.74311111111111*100)</f>
        <v>474.31111111111102</v>
      </c>
      <c r="I3" s="8">
        <f>(4.76444444444444*100)</f>
        <v>476.44444444444395</v>
      </c>
      <c r="J3" s="2">
        <f>(4.71822222222222*100)</f>
        <v>471.82222222222202</v>
      </c>
      <c r="K3" s="2">
        <f>(4.76088888888888*100)</f>
        <v>476.08888888888805</v>
      </c>
    </row>
    <row r="4" spans="1:11" ht="27.6" x14ac:dyDescent="0.25">
      <c r="A4" s="1" t="s">
        <v>141</v>
      </c>
      <c r="B4" s="8">
        <f>(4.79288888888888*100)</f>
        <v>479.28888888888804</v>
      </c>
      <c r="C4" s="2">
        <f>(4.73955555555555*100)</f>
        <v>473.95555555555501</v>
      </c>
      <c r="D4" s="2">
        <f>(4.72177777777777*100)</f>
        <v>472.17777777777695</v>
      </c>
      <c r="E4" s="2">
        <f>(4.72177777777777*100)</f>
        <v>472.17777777777695</v>
      </c>
      <c r="F4" s="2">
        <f>(4.77155555555555*100)</f>
        <v>477.155555555555</v>
      </c>
      <c r="G4" s="2">
        <f>(4.75733333333333*100)</f>
        <v>475.73333333333301</v>
      </c>
      <c r="H4" s="2">
        <f>(4.69333333333333*100)</f>
        <v>469.33333333333297</v>
      </c>
      <c r="I4" s="2">
        <f>(4.74666666666666*100)</f>
        <v>474.666666666666</v>
      </c>
      <c r="J4" s="8">
        <f>(4.79288888888888*100)</f>
        <v>479.28888888888804</v>
      </c>
      <c r="K4" s="2">
        <f>(4.77866666666666*100)</f>
        <v>477.86666666666599</v>
      </c>
    </row>
    <row r="5" spans="1:11" ht="27.6" x14ac:dyDescent="0.25">
      <c r="A5" s="1" t="s">
        <v>143</v>
      </c>
      <c r="B5" s="2">
        <f>(4.70399999999999*100)</f>
        <v>470.39999999999901</v>
      </c>
      <c r="C5" s="2">
        <f>(4.70399999999999*100)</f>
        <v>470.39999999999901</v>
      </c>
      <c r="D5" s="2">
        <f>(4.70399999999999*100)</f>
        <v>470.39999999999901</v>
      </c>
      <c r="E5" s="2">
        <f>(4.78933333333333*100)</f>
        <v>478.933333333333</v>
      </c>
      <c r="F5" s="2">
        <f>(4.68266666666666*100)</f>
        <v>468.26666666666597</v>
      </c>
      <c r="G5" s="8">
        <f>(4.80355555555555*100)</f>
        <v>480.35555555555504</v>
      </c>
      <c r="H5" s="2">
        <f>(4.76799999999999*100)</f>
        <v>476.79999999999899</v>
      </c>
      <c r="I5" s="2">
        <f>(4.66488888888888*100)</f>
        <v>466.48888888888803</v>
      </c>
      <c r="J5" s="2">
        <f>(4.74666666666666*100)</f>
        <v>474.666666666666</v>
      </c>
      <c r="K5" s="2">
        <f>(4.71466666666666*100)</f>
        <v>471.46666666666601</v>
      </c>
    </row>
    <row r="6" spans="1:11" x14ac:dyDescent="0.25">
      <c r="A6" s="1"/>
    </row>
    <row r="29" spans="2:11" ht="21" x14ac:dyDescent="0.4">
      <c r="B29" s="4" t="s">
        <v>136</v>
      </c>
      <c r="C29" s="5"/>
      <c r="D29" s="5"/>
      <c r="E29" s="5"/>
      <c r="F29" s="5"/>
      <c r="G29" s="5"/>
      <c r="H29" s="5"/>
    </row>
    <row r="30" spans="2:11" ht="21" x14ac:dyDescent="0.4">
      <c r="B30" s="5"/>
      <c r="C30" s="6" t="s">
        <v>137</v>
      </c>
      <c r="D30" s="6"/>
      <c r="E30" s="6"/>
      <c r="F30" s="6"/>
      <c r="G30" s="6"/>
      <c r="H30" s="6"/>
      <c r="I30" s="6"/>
      <c r="J30" s="6"/>
      <c r="K30" s="6"/>
    </row>
    <row r="31" spans="2:11" ht="21" x14ac:dyDescent="0.4">
      <c r="B31" s="5"/>
      <c r="C31" s="6" t="s">
        <v>139</v>
      </c>
      <c r="D31" s="6"/>
      <c r="E31" s="6"/>
      <c r="F31" s="6"/>
      <c r="G31" s="6"/>
      <c r="H31" s="6"/>
      <c r="I31" s="6"/>
      <c r="J31" s="6"/>
      <c r="K31" s="6"/>
    </row>
    <row r="32" spans="2:11" ht="18" x14ac:dyDescent="0.35">
      <c r="C32" s="6" t="s">
        <v>140</v>
      </c>
      <c r="D32" s="6"/>
      <c r="E32" s="6"/>
      <c r="F32" s="6"/>
      <c r="G32" s="6"/>
      <c r="H32" s="6"/>
      <c r="I32" s="6"/>
      <c r="J32" s="6"/>
      <c r="K32" s="6"/>
    </row>
    <row r="33" spans="3:10" ht="18" x14ac:dyDescent="0.35">
      <c r="C33" s="7" t="s">
        <v>142</v>
      </c>
      <c r="D33" s="7"/>
      <c r="E33" s="7"/>
      <c r="F33" s="7"/>
      <c r="G33" s="7"/>
      <c r="H33" s="7"/>
      <c r="I33" s="7"/>
      <c r="J33" s="7"/>
    </row>
    <row r="34" spans="3:10" ht="18" x14ac:dyDescent="0.35">
      <c r="C34" s="7" t="s">
        <v>144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K13"/>
  <sheetViews>
    <sheetView workbookViewId="0">
      <selection activeCell="B13" sqref="B13:K13"/>
    </sheetView>
  </sheetViews>
  <sheetFormatPr defaultRowHeight="14.4" x14ac:dyDescent="0.3"/>
  <sheetData>
    <row r="13" spans="1:11" x14ac:dyDescent="0.3">
      <c r="A13" t="s">
        <v>107</v>
      </c>
      <c r="B13">
        <v>4.7039999999999944</v>
      </c>
      <c r="C13">
        <v>4.7039999999999944</v>
      </c>
      <c r="D13">
        <v>4.7039999999999935</v>
      </c>
      <c r="E13">
        <v>4.7893333333333272</v>
      </c>
      <c r="F13">
        <v>4.6826666666666608</v>
      </c>
      <c r="G13">
        <v>4.8035555555555502</v>
      </c>
      <c r="H13">
        <v>4.7679999999999945</v>
      </c>
      <c r="I13">
        <v>4.6648888888888838</v>
      </c>
      <c r="J13">
        <v>4.7466666666666608</v>
      </c>
      <c r="K13">
        <v>4.7146666666666617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NSGA Run Data</vt:lpstr>
      <vt:lpstr>NSGA (Sampling) Data </vt:lpstr>
      <vt:lpstr>NSGA (Crossover) Data</vt:lpstr>
      <vt:lpstr>NSGA (Mutation) Data</vt:lpstr>
      <vt:lpstr>Plot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</dc:creator>
  <cp:lastModifiedBy>Mahalakshmi</cp:lastModifiedBy>
  <dcterms:created xsi:type="dcterms:W3CDTF">2024-11-24T11:13:15Z</dcterms:created>
  <dcterms:modified xsi:type="dcterms:W3CDTF">2026-05-29T16:07:54Z</dcterms:modified>
</cp:coreProperties>
</file>